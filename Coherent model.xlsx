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comments7.xml" ContentType="application/vnd.openxmlformats-officedocument.spreadsheetml.comments+xml"/>
  <Override PartName="/xl/threadedComments/threadedComment7.xml" ContentType="application/vnd.ms-excel.threadedcomments+xml"/>
  <Override PartName="/xl/persons/person.xml" ContentType="application/vnd.ms-excel.person+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14"/>
  <workbookPr/>
  <mc:AlternateContent xmlns:mc="http://schemas.openxmlformats.org/markup-compatibility/2006">
    <mc:Choice Requires="x15">
      <x15ac:absPath xmlns:x15ac="http://schemas.microsoft.com/office/spreadsheetml/2010/11/ac" url="/Users/Davide/Library/Mobile Documents/com~apple~CloudDocs/Claude/"/>
    </mc:Choice>
  </mc:AlternateContent>
  <xr:revisionPtr revIDLastSave="0" documentId="13_ncr:1_{977971E4-8FF0-C642-8A08-137855E594F2}" xr6:coauthVersionLast="47" xr6:coauthVersionMax="47" xr10:uidLastSave="{00000000-0000-0000-0000-000000000000}"/>
  <bookViews>
    <workbookView xWindow="0" yWindow="0" windowWidth="28800" windowHeight="18000" activeTab="2" xr2:uid="{00000000-000D-0000-FFFF-FFFF00000000}"/>
  </bookViews>
  <sheets>
    <sheet name="Operating model" sheetId="1" r:id="rId1"/>
    <sheet name="WACC" sheetId="7" r:id="rId2"/>
    <sheet name="Estimates" sheetId="8" r:id="rId3"/>
    <sheet name="Scenarios" sheetId="13" r:id="rId4"/>
    <sheet name="DCF" sheetId="9" r:id="rId5"/>
    <sheet name="Cross-check" sheetId="11" r:id="rId6"/>
    <sheet name="Comps" sheetId="12" r:id="rId7"/>
    <sheet name="Consolidated Balance Sheet" sheetId="2" r:id="rId8"/>
    <sheet name="Consolidated Income Stmt" sheetId="3" r:id="rId9"/>
    <sheet name="Consolidated Cash Flow" sheetId="4" r:id="rId10"/>
    <sheet name="Note 20 - Segment Results" sheetId="5" r:id="rId11"/>
    <sheet name="Note 20 - D&amp;A by Segment" sheetId="6" r:id="rId1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31" i="13" l="1"/>
  <c r="C32" i="13" s="1"/>
  <c r="D34" i="12"/>
  <c r="D36" i="12" s="1"/>
  <c r="D33" i="12"/>
  <c r="C7" i="12"/>
  <c r="E7" i="12"/>
  <c r="E6" i="12"/>
  <c r="D53" i="1"/>
  <c r="E53" i="1"/>
  <c r="E55" i="1" s="1"/>
  <c r="C53" i="1"/>
  <c r="C15" i="11"/>
  <c r="L59" i="8"/>
  <c r="M59" i="8"/>
  <c r="N59" i="8"/>
  <c r="O59" i="8"/>
  <c r="K59" i="8"/>
  <c r="K31" i="8"/>
  <c r="N31" i="8"/>
  <c r="O31" i="8"/>
  <c r="M31" i="8"/>
  <c r="B5" i="13"/>
  <c r="E70" i="8"/>
  <c r="D36" i="11"/>
  <c r="C36" i="11"/>
  <c r="D30" i="11"/>
  <c r="C30" i="11"/>
  <c r="D24" i="11"/>
  <c r="C24" i="11"/>
  <c r="C2" i="11"/>
  <c r="C39" i="9"/>
  <c r="C38" i="9"/>
  <c r="C37" i="9"/>
  <c r="F20" i="9"/>
  <c r="E20" i="9"/>
  <c r="D20" i="9"/>
  <c r="C20" i="9"/>
  <c r="O14" i="9"/>
  <c r="N14" i="9"/>
  <c r="M14" i="9"/>
  <c r="L14" i="9"/>
  <c r="K14" i="9"/>
  <c r="J14" i="9"/>
  <c r="I14" i="9"/>
  <c r="H14" i="9"/>
  <c r="G14" i="9"/>
  <c r="F14" i="9"/>
  <c r="E14" i="9"/>
  <c r="D14" i="9"/>
  <c r="C14" i="9"/>
  <c r="F10" i="9"/>
  <c r="F8" i="9"/>
  <c r="G8" i="9" s="1"/>
  <c r="H8" i="9" s="1"/>
  <c r="I8" i="9" s="1"/>
  <c r="J8" i="9" s="1"/>
  <c r="K8" i="9" s="1"/>
  <c r="L8" i="9" s="1"/>
  <c r="M8" i="9" s="1"/>
  <c r="N8" i="9" s="1"/>
  <c r="O8" i="9" s="1"/>
  <c r="F83" i="8"/>
  <c r="F82" i="8"/>
  <c r="F80" i="8"/>
  <c r="F78" i="8"/>
  <c r="F76" i="8"/>
  <c r="F74" i="8"/>
  <c r="G73" i="8"/>
  <c r="E73" i="8"/>
  <c r="D73" i="8"/>
  <c r="C73" i="8"/>
  <c r="G72" i="8"/>
  <c r="E72" i="8"/>
  <c r="D72" i="8"/>
  <c r="C72" i="8"/>
  <c r="G71" i="8"/>
  <c r="E71" i="8"/>
  <c r="D71" i="8"/>
  <c r="C71" i="8"/>
  <c r="G70" i="8"/>
  <c r="D70" i="8"/>
  <c r="C70" i="8"/>
  <c r="G69" i="8"/>
  <c r="E69" i="8"/>
  <c r="D69" i="8"/>
  <c r="C69" i="8"/>
  <c r="G68" i="8"/>
  <c r="E68" i="8"/>
  <c r="D68" i="8"/>
  <c r="C68" i="8"/>
  <c r="F66" i="8"/>
  <c r="G66" i="8" s="1"/>
  <c r="H66" i="8" s="1"/>
  <c r="I66" i="8" s="1"/>
  <c r="J66" i="8" s="1"/>
  <c r="K66" i="8" s="1"/>
  <c r="L66" i="8" s="1"/>
  <c r="M66" i="8" s="1"/>
  <c r="N66" i="8" s="1"/>
  <c r="O66" i="8" s="1"/>
  <c r="J60" i="8"/>
  <c r="E56" i="8"/>
  <c r="D56" i="8"/>
  <c r="E55" i="8"/>
  <c r="E57" i="8" s="1"/>
  <c r="D55" i="8"/>
  <c r="D57" i="8" s="1"/>
  <c r="C55" i="8"/>
  <c r="F53" i="8"/>
  <c r="G53" i="8" s="1"/>
  <c r="H53" i="8" s="1"/>
  <c r="I53" i="8" s="1"/>
  <c r="J53" i="8" s="1"/>
  <c r="K53" i="8" s="1"/>
  <c r="L53" i="8" s="1"/>
  <c r="M53" i="8" s="1"/>
  <c r="N53" i="8" s="1"/>
  <c r="O53" i="8" s="1"/>
  <c r="F45" i="8"/>
  <c r="E45" i="8"/>
  <c r="D45" i="8"/>
  <c r="C45" i="8"/>
  <c r="F43" i="8"/>
  <c r="G43" i="8" s="1"/>
  <c r="H43" i="8" s="1"/>
  <c r="I43" i="8" s="1"/>
  <c r="J43" i="8" s="1"/>
  <c r="K43" i="8" s="1"/>
  <c r="L43" i="8" s="1"/>
  <c r="M43" i="8" s="1"/>
  <c r="N43" i="8" s="1"/>
  <c r="O43" i="8" s="1"/>
  <c r="J38" i="8"/>
  <c r="I38" i="8"/>
  <c r="H38" i="8"/>
  <c r="G38" i="8"/>
  <c r="K36" i="8"/>
  <c r="L36" i="8" s="1"/>
  <c r="M36" i="8" s="1"/>
  <c r="N36" i="8" s="1"/>
  <c r="O36" i="8" s="1"/>
  <c r="E36" i="8"/>
  <c r="D36" i="8"/>
  <c r="C36" i="8"/>
  <c r="C37" i="8" s="1"/>
  <c r="F33" i="8"/>
  <c r="F35" i="8" s="1"/>
  <c r="C33" i="8" a="1"/>
  <c r="F30" i="8"/>
  <c r="F32" i="8" s="1"/>
  <c r="C30" i="8" a="1"/>
  <c r="F27" i="8"/>
  <c r="C24" i="8" a="1"/>
  <c r="C23" i="8" a="1"/>
  <c r="F21" i="8"/>
  <c r="G21" i="8" s="1"/>
  <c r="H21" i="8" s="1"/>
  <c r="I21" i="8" s="1"/>
  <c r="J21" i="8" s="1"/>
  <c r="K21" i="8" s="1"/>
  <c r="L21" i="8" s="1"/>
  <c r="M21" i="8" s="1"/>
  <c r="N21" i="8" s="1"/>
  <c r="O21" i="8" s="1"/>
  <c r="C35" i="7"/>
  <c r="D27" i="7"/>
  <c r="G27" i="7" s="1"/>
  <c r="D26" i="7"/>
  <c r="G26" i="7" s="1"/>
  <c r="G25" i="7"/>
  <c r="C29" i="7" s="1"/>
  <c r="C30" i="7" s="1"/>
  <c r="D8" i="7" s="1"/>
  <c r="D6" i="7" s="1"/>
  <c r="D13" i="7"/>
  <c r="D11" i="7"/>
  <c r="F51" i="1"/>
  <c r="G51" i="1" s="1"/>
  <c r="H51" i="1" s="1"/>
  <c r="I51" i="1" s="1"/>
  <c r="J51" i="1" s="1"/>
  <c r="K51" i="1" s="1"/>
  <c r="L51" i="1" s="1"/>
  <c r="M51" i="1" s="1"/>
  <c r="N51" i="1" s="1"/>
  <c r="O51" i="1" s="1"/>
  <c r="G49" i="1"/>
  <c r="F49" i="1"/>
  <c r="E48" i="1"/>
  <c r="D48" i="1"/>
  <c r="F47" i="1"/>
  <c r="F48" i="1" s="1"/>
  <c r="F45" i="1"/>
  <c r="G45" i="1" s="1"/>
  <c r="H45" i="1" s="1"/>
  <c r="I45" i="1" s="1"/>
  <c r="J45" i="1" s="1"/>
  <c r="K45" i="1" s="1"/>
  <c r="L45" i="1" s="1"/>
  <c r="M45" i="1" s="1"/>
  <c r="N45" i="1" s="1"/>
  <c r="O45" i="1" s="1"/>
  <c r="E37" i="1"/>
  <c r="D37" i="1"/>
  <c r="C37" i="1"/>
  <c r="E33" i="1"/>
  <c r="D33" i="1"/>
  <c r="C33" i="1"/>
  <c r="F31" i="1"/>
  <c r="G31" i="1" s="1"/>
  <c r="H31" i="1" s="1"/>
  <c r="I31" i="1" s="1"/>
  <c r="J31" i="1" s="1"/>
  <c r="K31" i="1" s="1"/>
  <c r="L31" i="1" s="1"/>
  <c r="M31" i="1" s="1"/>
  <c r="N31" i="1" s="1"/>
  <c r="O31" i="1" s="1"/>
  <c r="E29" i="1"/>
  <c r="D29" i="1"/>
  <c r="C29" i="1"/>
  <c r="F26" i="1"/>
  <c r="G26" i="1" s="1"/>
  <c r="H26" i="1" s="1"/>
  <c r="I26" i="1" s="1"/>
  <c r="J26" i="1" s="1"/>
  <c r="K26" i="1" s="1"/>
  <c r="L26" i="1" s="1"/>
  <c r="M26" i="1" s="1"/>
  <c r="N26" i="1" s="1"/>
  <c r="O26" i="1" s="1"/>
  <c r="E22" i="1"/>
  <c r="D22" i="1"/>
  <c r="C22" i="1"/>
  <c r="F20" i="1"/>
  <c r="G20" i="1" s="1"/>
  <c r="H20" i="1" s="1"/>
  <c r="I20" i="1" s="1"/>
  <c r="J20" i="1" s="1"/>
  <c r="K20" i="1" s="1"/>
  <c r="L20" i="1" s="1"/>
  <c r="M20" i="1" s="1"/>
  <c r="N20" i="1" s="1"/>
  <c r="O20" i="1" s="1"/>
  <c r="J14" i="1"/>
  <c r="I14" i="1"/>
  <c r="H14" i="1"/>
  <c r="G14" i="1"/>
  <c r="E13" i="1"/>
  <c r="D13" i="1"/>
  <c r="C13" i="1"/>
  <c r="E9" i="1"/>
  <c r="D9" i="1"/>
  <c r="C9" i="1"/>
  <c r="F7" i="1"/>
  <c r="G7" i="1" s="1"/>
  <c r="H7" i="1" s="1"/>
  <c r="I7" i="1" s="1"/>
  <c r="J7" i="1" s="1"/>
  <c r="K7" i="1" s="1"/>
  <c r="L7" i="1" s="1"/>
  <c r="M7" i="1" s="1"/>
  <c r="N7" i="1" s="1"/>
  <c r="O7" i="1" s="1"/>
  <c r="C34" i="12"/>
  <c r="I17" i="12"/>
  <c r="I15" i="12"/>
  <c r="E13" i="12"/>
  <c r="C13" i="12"/>
  <c r="E11" i="12"/>
  <c r="C11" i="12"/>
  <c r="I11" i="12" s="1"/>
  <c r="E9" i="12"/>
  <c r="C9" i="12"/>
  <c r="I9" i="12" s="1"/>
  <c r="I13" i="12" l="1"/>
  <c r="D55" i="1"/>
  <c r="E10" i="13" a="1"/>
  <c r="K9" i="8" s="1"/>
  <c r="I10" i="1" s="1"/>
  <c r="E11" i="13" a="1"/>
  <c r="K10" i="8" s="1"/>
  <c r="J10" i="1" s="1"/>
  <c r="E12" i="13" a="1"/>
  <c r="L28" i="8" s="1"/>
  <c r="E13" i="13" a="1"/>
  <c r="L34" i="8" s="1"/>
  <c r="K34" i="8" s="1"/>
  <c r="E14" i="13" a="1"/>
  <c r="E9" i="13" a="1"/>
  <c r="G7" i="8" s="1"/>
  <c r="H7" i="8" s="1"/>
  <c r="I7" i="8" s="1"/>
  <c r="J7" i="8" s="1"/>
  <c r="G8" i="8" s="1"/>
  <c r="H8" i="8" s="1"/>
  <c r="I8" i="8" s="1"/>
  <c r="J8" i="8" s="1"/>
  <c r="C6" i="11"/>
  <c r="C31" i="12"/>
  <c r="C4" i="11"/>
  <c r="C30" i="12"/>
  <c r="C5" i="11"/>
  <c r="C29" i="12"/>
  <c r="D40" i="11"/>
  <c r="D41" i="11"/>
  <c r="C41" i="11"/>
  <c r="C40" i="11"/>
  <c r="F81" i="8"/>
  <c r="F79" i="8"/>
  <c r="F85" i="8" s="1"/>
  <c r="H73" i="8"/>
  <c r="H72" i="8"/>
  <c r="H71" i="8"/>
  <c r="H70" i="8"/>
  <c r="H69" i="8"/>
  <c r="H68" i="8"/>
  <c r="G74" i="8"/>
  <c r="E74" i="8"/>
  <c r="D74" i="8"/>
  <c r="C74" i="8"/>
  <c r="J61" i="8"/>
  <c r="F55" i="8"/>
  <c r="E38" i="8"/>
  <c r="E37" i="8"/>
  <c r="F38" i="8"/>
  <c r="D37" i="8"/>
  <c r="D38" i="8"/>
  <c r="E34" i="8"/>
  <c r="D34" i="8"/>
  <c r="C34" i="8"/>
  <c r="D35" i="8"/>
  <c r="E35" i="8"/>
  <c r="E32" i="8"/>
  <c r="E31" i="8"/>
  <c r="D32" i="8"/>
  <c r="D31" i="8"/>
  <c r="C31" i="8"/>
  <c r="F29" i="8"/>
  <c r="F39" i="8"/>
  <c r="C25" i="8"/>
  <c r="E25" i="8"/>
  <c r="E26" i="8"/>
  <c r="D25" i="8"/>
  <c r="D26" i="8"/>
  <c r="C27" i="8"/>
  <c r="C28" i="8" s="1"/>
  <c r="E27" i="8"/>
  <c r="D27" i="8"/>
  <c r="D5" i="7"/>
  <c r="D12" i="7"/>
  <c r="E56" i="1"/>
  <c r="E22" i="9"/>
  <c r="D22" i="9"/>
  <c r="E38" i="1"/>
  <c r="D38" i="1"/>
  <c r="E34" i="1"/>
  <c r="E41" i="1"/>
  <c r="D41" i="1"/>
  <c r="D39" i="1" s="1"/>
  <c r="D35" i="1"/>
  <c r="D34" i="1"/>
  <c r="C41" i="1"/>
  <c r="C35" i="1"/>
  <c r="E23" i="1"/>
  <c r="E39" i="8"/>
  <c r="E40" i="8" s="1"/>
  <c r="E12" i="9"/>
  <c r="E16" i="9" s="1"/>
  <c r="D39" i="8"/>
  <c r="D40" i="8" s="1"/>
  <c r="D12" i="9"/>
  <c r="D16" i="9" s="1"/>
  <c r="D23" i="1"/>
  <c r="C39" i="8"/>
  <c r="C40" i="8" s="1"/>
  <c r="C12" i="9"/>
  <c r="C16" i="9" s="1"/>
  <c r="F13" i="1"/>
  <c r="E14" i="1"/>
  <c r="D14" i="1"/>
  <c r="E10" i="1"/>
  <c r="E17" i="1"/>
  <c r="D10" i="1"/>
  <c r="D17" i="1"/>
  <c r="D11" i="1"/>
  <c r="C17" i="1"/>
  <c r="I22" i="12"/>
  <c r="I23" i="12"/>
  <c r="I19" i="12"/>
  <c r="I20" i="12"/>
  <c r="B6" i="9" l="1"/>
  <c r="C3" i="1" s="1"/>
  <c r="M28" i="8"/>
  <c r="N28" i="8" s="1"/>
  <c r="O28" i="8" s="1"/>
  <c r="K28" i="8"/>
  <c r="J28" i="8"/>
  <c r="I28" i="8"/>
  <c r="H28" i="8"/>
  <c r="G28" i="8"/>
  <c r="M34" i="8"/>
  <c r="N34" i="8" s="1"/>
  <c r="O34" i="8" s="1"/>
  <c r="G34" i="8"/>
  <c r="J34" i="8"/>
  <c r="I34" i="8"/>
  <c r="H34" i="8"/>
  <c r="C8" i="11"/>
  <c r="B13" i="11" s="1"/>
  <c r="F53" i="1"/>
  <c r="F55" i="1" s="1"/>
  <c r="I73" i="8"/>
  <c r="I72" i="8"/>
  <c r="I71" i="8"/>
  <c r="I70" i="8"/>
  <c r="I69" i="8"/>
  <c r="I68" i="8"/>
  <c r="H74" i="8"/>
  <c r="F56" i="8"/>
  <c r="F57" i="8"/>
  <c r="F63" i="8"/>
  <c r="F41" i="1" s="1"/>
  <c r="F22" i="1"/>
  <c r="F40" i="8"/>
  <c r="E28" i="8"/>
  <c r="E76" i="8" s="1"/>
  <c r="E29" i="8"/>
  <c r="D28" i="8"/>
  <c r="D76" i="8" s="1"/>
  <c r="D29" i="8"/>
  <c r="D17" i="7"/>
  <c r="C36" i="7"/>
  <c r="B5" i="9" s="1"/>
  <c r="E42" i="1"/>
  <c r="E18" i="9"/>
  <c r="E24" i="9" s="1"/>
  <c r="E43" i="1"/>
  <c r="D18" i="9"/>
  <c r="D24" i="9" s="1"/>
  <c r="D42" i="1"/>
  <c r="D43" i="1"/>
  <c r="C39" i="1"/>
  <c r="C18" i="9"/>
  <c r="C43" i="1"/>
  <c r="F9" i="1"/>
  <c r="G13" i="1"/>
  <c r="F15" i="1"/>
  <c r="E82" i="8"/>
  <c r="E83" i="8"/>
  <c r="E80" i="8"/>
  <c r="E18" i="1"/>
  <c r="E49" i="1"/>
  <c r="E46" i="8" s="1"/>
  <c r="F18" i="1"/>
  <c r="E10" i="9"/>
  <c r="D80" i="8"/>
  <c r="D82" i="8"/>
  <c r="D83" i="8"/>
  <c r="D18" i="1"/>
  <c r="D49" i="1"/>
  <c r="D46" i="8" s="1"/>
  <c r="D10" i="9"/>
  <c r="C15" i="1"/>
  <c r="C80" i="8"/>
  <c r="C82" i="8"/>
  <c r="C83" i="8"/>
  <c r="C49" i="1"/>
  <c r="C46" i="8" s="1"/>
  <c r="C76" i="8"/>
  <c r="C10" i="9"/>
  <c r="E39" i="1"/>
  <c r="E35" i="1"/>
  <c r="E78" i="8"/>
  <c r="E57" i="1"/>
  <c r="E24" i="1"/>
  <c r="E15" i="1"/>
  <c r="E11" i="1"/>
  <c r="D78" i="8"/>
  <c r="D57" i="1"/>
  <c r="D24" i="1"/>
  <c r="D15" i="1"/>
  <c r="C78" i="8"/>
  <c r="C24" i="1"/>
  <c r="C11" i="1"/>
  <c r="M14" i="1" l="1"/>
  <c r="K14" i="1"/>
  <c r="L14" i="1"/>
  <c r="N14" i="1"/>
  <c r="O14" i="1"/>
  <c r="M10" i="1"/>
  <c r="N10" i="1"/>
  <c r="O10" i="1"/>
  <c r="L10" i="1"/>
  <c r="K10" i="1"/>
  <c r="D17" i="11"/>
  <c r="C17" i="11"/>
  <c r="F56" i="1"/>
  <c r="F57" i="1"/>
  <c r="F22" i="9"/>
  <c r="J73" i="8"/>
  <c r="J72" i="8"/>
  <c r="J71" i="8"/>
  <c r="J70" i="8"/>
  <c r="J69" i="8"/>
  <c r="J68" i="8"/>
  <c r="I74" i="8"/>
  <c r="G55" i="8"/>
  <c r="F42" i="1"/>
  <c r="F43" i="1"/>
  <c r="F18" i="9"/>
  <c r="F23" i="1"/>
  <c r="F28" i="1"/>
  <c r="F24" i="1"/>
  <c r="F12" i="9"/>
  <c r="F16" i="9" s="1"/>
  <c r="B4" i="9"/>
  <c r="F4" i="9"/>
  <c r="C2" i="1"/>
  <c r="F10" i="1"/>
  <c r="F11" i="1"/>
  <c r="H13" i="1"/>
  <c r="E79" i="8"/>
  <c r="E81" i="8"/>
  <c r="D81" i="8"/>
  <c r="D79" i="8"/>
  <c r="D85" i="8" s="1"/>
  <c r="C79" i="8"/>
  <c r="C85" i="8" s="1"/>
  <c r="C81" i="8"/>
  <c r="C18" i="11"/>
  <c r="I4" i="9" l="1"/>
  <c r="J4" i="9"/>
  <c r="K4" i="9"/>
  <c r="L4" i="9"/>
  <c r="M4" i="9"/>
  <c r="N4" i="9"/>
  <c r="O4" i="9"/>
  <c r="G4" i="9"/>
  <c r="H4" i="9"/>
  <c r="K73" i="8"/>
  <c r="K72" i="8"/>
  <c r="K71" i="8"/>
  <c r="K70" i="8"/>
  <c r="K69" i="8"/>
  <c r="K68" i="8"/>
  <c r="J74" i="8"/>
  <c r="G57" i="8"/>
  <c r="G63" i="8"/>
  <c r="G41" i="1" s="1"/>
  <c r="F27" i="9"/>
  <c r="J6" i="8"/>
  <c r="I25" i="12"/>
  <c r="C6" i="12" s="1"/>
  <c r="C33" i="12" s="1"/>
  <c r="C36" i="12" s="1"/>
  <c r="I13" i="1"/>
  <c r="F24" i="9"/>
  <c r="E85" i="8"/>
  <c r="D86" i="8"/>
  <c r="L73" i="8" l="1"/>
  <c r="L72" i="8"/>
  <c r="L71" i="8"/>
  <c r="L70" i="8"/>
  <c r="L69" i="8"/>
  <c r="L68" i="8"/>
  <c r="K74" i="8"/>
  <c r="G42" i="1"/>
  <c r="G18" i="9"/>
  <c r="J13" i="1"/>
  <c r="E86" i="8"/>
  <c r="F86" i="8"/>
  <c r="F25" i="9"/>
  <c r="M73" i="8" l="1"/>
  <c r="M72" i="8"/>
  <c r="M71" i="8"/>
  <c r="M70" i="8"/>
  <c r="M69" i="8"/>
  <c r="M68" i="8"/>
  <c r="L74" i="8"/>
  <c r="K13" i="1"/>
  <c r="K7" i="8"/>
  <c r="G10" i="1" s="1"/>
  <c r="G9" i="1" s="1"/>
  <c r="N73" i="8" l="1"/>
  <c r="N72" i="8"/>
  <c r="N71" i="8"/>
  <c r="N70" i="8"/>
  <c r="N69" i="8"/>
  <c r="N68" i="8"/>
  <c r="M74" i="8"/>
  <c r="L13" i="1"/>
  <c r="G17" i="1"/>
  <c r="G11" i="1" s="1"/>
  <c r="K8" i="8"/>
  <c r="H10" i="1" s="1"/>
  <c r="H9" i="1" s="1"/>
  <c r="O73" i="8" l="1"/>
  <c r="O72" i="8"/>
  <c r="O71" i="8"/>
  <c r="O70" i="8"/>
  <c r="O69" i="8"/>
  <c r="O68" i="8"/>
  <c r="N74" i="8"/>
  <c r="M13" i="1"/>
  <c r="G43" i="1"/>
  <c r="G15" i="1"/>
  <c r="G80" i="8"/>
  <c r="G83" i="8"/>
  <c r="G82" i="8"/>
  <c r="G78" i="8"/>
  <c r="G33" i="8"/>
  <c r="G35" i="8" s="1"/>
  <c r="G45" i="8"/>
  <c r="G47" i="1" s="1"/>
  <c r="G76" i="8"/>
  <c r="G10" i="9"/>
  <c r="G18" i="1"/>
  <c r="G27" i="8"/>
  <c r="H17" i="1"/>
  <c r="H11" i="1" s="1"/>
  <c r="I9" i="1"/>
  <c r="O74" i="8" l="1"/>
  <c r="N13" i="1"/>
  <c r="G56" i="8"/>
  <c r="G48" i="1"/>
  <c r="G20" i="9"/>
  <c r="G81" i="8"/>
  <c r="G79" i="8"/>
  <c r="G29" i="8"/>
  <c r="H15" i="1"/>
  <c r="H78" i="8"/>
  <c r="H80" i="8"/>
  <c r="H82" i="8"/>
  <c r="H83" i="8"/>
  <c r="H33" i="8"/>
  <c r="H35" i="8" s="1"/>
  <c r="H18" i="1"/>
  <c r="H76" i="8"/>
  <c r="H10" i="9"/>
  <c r="H27" i="8"/>
  <c r="I17" i="1"/>
  <c r="I11" i="1" s="1"/>
  <c r="J9" i="1"/>
  <c r="G85" i="8" l="1"/>
  <c r="O13" i="1"/>
  <c r="H55" i="8"/>
  <c r="H79" i="8"/>
  <c r="H81" i="8"/>
  <c r="H29" i="8"/>
  <c r="I15" i="1"/>
  <c r="I78" i="8"/>
  <c r="I83" i="8"/>
  <c r="I80" i="8"/>
  <c r="I82" i="8"/>
  <c r="I33" i="8"/>
  <c r="I35" i="8" s="1"/>
  <c r="I76" i="8"/>
  <c r="I10" i="9"/>
  <c r="I27" i="8"/>
  <c r="I18" i="1"/>
  <c r="J17" i="1"/>
  <c r="J11" i="1" s="1"/>
  <c r="K9" i="1"/>
  <c r="G86" i="8" l="1"/>
  <c r="G53" i="1"/>
  <c r="G55" i="1" s="1"/>
  <c r="G22" i="9" s="1"/>
  <c r="H45" i="8"/>
  <c r="H63" i="8"/>
  <c r="H41" i="1" s="1"/>
  <c r="H57" i="8"/>
  <c r="I79" i="8"/>
  <c r="I81" i="8"/>
  <c r="I29" i="8"/>
  <c r="J15" i="1"/>
  <c r="J78" i="8"/>
  <c r="J80" i="8"/>
  <c r="J82" i="8"/>
  <c r="J83" i="8"/>
  <c r="J33" i="8"/>
  <c r="J35" i="8" s="1"/>
  <c r="J18" i="1"/>
  <c r="J76" i="8"/>
  <c r="J10" i="9"/>
  <c r="J27" i="8"/>
  <c r="L9" i="1"/>
  <c r="K17" i="1"/>
  <c r="K11" i="1" s="1"/>
  <c r="H85" i="8"/>
  <c r="G56" i="1" l="1"/>
  <c r="G57" i="1"/>
  <c r="I85" i="8"/>
  <c r="H46" i="8"/>
  <c r="H49" i="1" s="1"/>
  <c r="H47" i="1"/>
  <c r="H42" i="1"/>
  <c r="H43" i="1"/>
  <c r="H18" i="9"/>
  <c r="J79" i="8"/>
  <c r="J81" i="8"/>
  <c r="J29" i="8"/>
  <c r="M9" i="1"/>
  <c r="L17" i="1"/>
  <c r="L11" i="1" s="1"/>
  <c r="K15" i="1"/>
  <c r="K82" i="8"/>
  <c r="K78" i="8"/>
  <c r="K80" i="8"/>
  <c r="K83" i="8"/>
  <c r="K18" i="1"/>
  <c r="K33" i="8"/>
  <c r="K35" i="8" s="1"/>
  <c r="K76" i="8"/>
  <c r="K10" i="9"/>
  <c r="K27" i="8"/>
  <c r="H53" i="1"/>
  <c r="H55" i="1" s="1"/>
  <c r="H86" i="8"/>
  <c r="I86" i="8" l="1"/>
  <c r="I53" i="1"/>
  <c r="I55" i="1" s="1"/>
  <c r="H56" i="8"/>
  <c r="H48" i="1"/>
  <c r="H20" i="9"/>
  <c r="N9" i="1"/>
  <c r="M17" i="1"/>
  <c r="M11" i="1" s="1"/>
  <c r="L15" i="1"/>
  <c r="L80" i="8"/>
  <c r="L82" i="8"/>
  <c r="L83" i="8"/>
  <c r="L78" i="8"/>
  <c r="L18" i="1"/>
  <c r="L76" i="8"/>
  <c r="L10" i="9"/>
  <c r="L27" i="8"/>
  <c r="L33" i="8"/>
  <c r="L35" i="8" s="1"/>
  <c r="K79" i="8"/>
  <c r="K81" i="8"/>
  <c r="K29" i="8"/>
  <c r="H56" i="1"/>
  <c r="H57" i="1"/>
  <c r="H22" i="9"/>
  <c r="J85" i="8"/>
  <c r="I22" i="9" l="1"/>
  <c r="I56" i="1"/>
  <c r="I57" i="1"/>
  <c r="K85" i="8"/>
  <c r="I55" i="8"/>
  <c r="O9" i="1"/>
  <c r="N17" i="1"/>
  <c r="N11" i="1" s="1"/>
  <c r="M15" i="1"/>
  <c r="M80" i="8"/>
  <c r="M82" i="8"/>
  <c r="M83" i="8"/>
  <c r="M78" i="8"/>
  <c r="M18" i="1"/>
  <c r="M33" i="8"/>
  <c r="M35" i="8" s="1"/>
  <c r="M76" i="8"/>
  <c r="M10" i="9"/>
  <c r="M27" i="8"/>
  <c r="L79" i="8"/>
  <c r="L81" i="8"/>
  <c r="L29" i="8"/>
  <c r="J53" i="1"/>
  <c r="J55" i="1" s="1"/>
  <c r="J86" i="8"/>
  <c r="K86" i="8" l="1"/>
  <c r="K53" i="1"/>
  <c r="K55" i="1" s="1"/>
  <c r="I45" i="8"/>
  <c r="I57" i="8"/>
  <c r="I63" i="8"/>
  <c r="I41" i="1" s="1"/>
  <c r="O17" i="1"/>
  <c r="O11" i="1" s="1"/>
  <c r="N15" i="1"/>
  <c r="N83" i="8"/>
  <c r="N78" i="8"/>
  <c r="N80" i="8"/>
  <c r="N82" i="8"/>
  <c r="N18" i="1"/>
  <c r="N33" i="8"/>
  <c r="N35" i="8" s="1"/>
  <c r="N76" i="8"/>
  <c r="N10" i="9"/>
  <c r="N27" i="8"/>
  <c r="M79" i="8"/>
  <c r="M81" i="8"/>
  <c r="M29" i="8"/>
  <c r="J56" i="1"/>
  <c r="J57" i="1"/>
  <c r="J22" i="9"/>
  <c r="L85" i="8"/>
  <c r="I46" i="8" l="1"/>
  <c r="I49" i="1" s="1"/>
  <c r="I47" i="1"/>
  <c r="I43" i="1"/>
  <c r="I18" i="9"/>
  <c r="I42" i="1"/>
  <c r="O15" i="1"/>
  <c r="O78" i="8"/>
  <c r="O82" i="8"/>
  <c r="O80" i="8"/>
  <c r="O83" i="8"/>
  <c r="O18" i="1"/>
  <c r="O33" i="8"/>
  <c r="O35" i="8" s="1"/>
  <c r="O76" i="8"/>
  <c r="O10" i="9"/>
  <c r="O27" i="8"/>
  <c r="N79" i="8"/>
  <c r="N81" i="8"/>
  <c r="N29" i="8"/>
  <c r="L53" i="1"/>
  <c r="L55" i="1" s="1"/>
  <c r="L86" i="8"/>
  <c r="K22" i="9"/>
  <c r="K57" i="1"/>
  <c r="K56" i="1"/>
  <c r="M85" i="8"/>
  <c r="I56" i="8" l="1"/>
  <c r="I48" i="1"/>
  <c r="I20" i="9"/>
  <c r="O79" i="8"/>
  <c r="O81" i="8"/>
  <c r="O29" i="8"/>
  <c r="L56" i="1"/>
  <c r="L57" i="1"/>
  <c r="L22" i="9"/>
  <c r="M53" i="1"/>
  <c r="M55" i="1" s="1"/>
  <c r="M86" i="8"/>
  <c r="N85" i="8"/>
  <c r="J55" i="8" l="1"/>
  <c r="M56" i="1"/>
  <c r="M57" i="1"/>
  <c r="M22" i="9"/>
  <c r="N53" i="1"/>
  <c r="N55" i="1" s="1"/>
  <c r="N86" i="8"/>
  <c r="O85" i="8"/>
  <c r="J45" i="8" l="1"/>
  <c r="J63" i="8"/>
  <c r="J41" i="1" s="1"/>
  <c r="J57" i="8"/>
  <c r="N56" i="1"/>
  <c r="N57" i="1"/>
  <c r="N22" i="9"/>
  <c r="O53" i="1"/>
  <c r="O55" i="1" s="1"/>
  <c r="O86" i="8"/>
  <c r="J46" i="8" l="1"/>
  <c r="J49" i="1" s="1"/>
  <c r="J47" i="1"/>
  <c r="J42" i="1"/>
  <c r="J43" i="1"/>
  <c r="J18" i="9"/>
  <c r="O22" i="9"/>
  <c r="O56" i="1"/>
  <c r="O57" i="1"/>
  <c r="J56" i="8" l="1"/>
  <c r="J20" i="9"/>
  <c r="J48" i="1"/>
  <c r="K55" i="8" l="1"/>
  <c r="K45" i="8" l="1"/>
  <c r="K63" i="8"/>
  <c r="K41" i="1" s="1"/>
  <c r="K57" i="8"/>
  <c r="K46" i="8" l="1"/>
  <c r="K49" i="1" s="1"/>
  <c r="K47" i="1"/>
  <c r="K43" i="1"/>
  <c r="K18" i="9"/>
  <c r="K42" i="1"/>
  <c r="K56" i="8" l="1"/>
  <c r="K20" i="9"/>
  <c r="K48" i="1"/>
  <c r="L55" i="8" l="1"/>
  <c r="L45" i="8" l="1"/>
  <c r="L63" i="8"/>
  <c r="L41" i="1" s="1"/>
  <c r="L57" i="8"/>
  <c r="L46" i="8" l="1"/>
  <c r="L49" i="1" s="1"/>
  <c r="L47" i="1"/>
  <c r="L42" i="1"/>
  <c r="L43" i="1"/>
  <c r="L18" i="9"/>
  <c r="L56" i="8" l="1"/>
  <c r="L20" i="9"/>
  <c r="L48" i="1"/>
  <c r="M55" i="8" l="1"/>
  <c r="M45" i="8" l="1"/>
  <c r="M57" i="8"/>
  <c r="M63" i="8"/>
  <c r="M41" i="1" s="1"/>
  <c r="M46" i="8" l="1"/>
  <c r="M49" i="1" s="1"/>
  <c r="M47" i="1"/>
  <c r="M43" i="1"/>
  <c r="M42" i="1"/>
  <c r="M18" i="9"/>
  <c r="M56" i="8" l="1"/>
  <c r="M48" i="1"/>
  <c r="M20" i="9"/>
  <c r="N55" i="8" l="1"/>
  <c r="N45" i="8" l="1"/>
  <c r="N63" i="8"/>
  <c r="N41" i="1" s="1"/>
  <c r="N57" i="8"/>
  <c r="N46" i="8" l="1"/>
  <c r="N49" i="1" s="1"/>
  <c r="N47" i="1"/>
  <c r="N43" i="1"/>
  <c r="N42" i="1"/>
  <c r="N18" i="9"/>
  <c r="N56" i="8" l="1"/>
  <c r="N48" i="1"/>
  <c r="N20" i="9"/>
  <c r="O55" i="8" l="1"/>
  <c r="O57" i="8" l="1"/>
  <c r="O63" i="8"/>
  <c r="O41" i="1" s="1"/>
  <c r="O42" i="1" l="1"/>
  <c r="O18" i="9"/>
  <c r="O43" i="1"/>
  <c r="G27" i="9" l="1"/>
  <c r="H27" i="9" l="1"/>
  <c r="I27" i="9" l="1"/>
  <c r="J27" i="9" l="1"/>
  <c r="K27" i="9" l="1"/>
  <c r="L27" i="9" l="1"/>
  <c r="M27" i="9" l="1"/>
  <c r="N27" i="9" l="1"/>
  <c r="O27" i="9" l="1"/>
  <c r="J31" i="8" l="1"/>
  <c r="G31" i="8"/>
  <c r="H31" i="8"/>
  <c r="I31" i="8"/>
  <c r="G30" i="8"/>
  <c r="H30" i="8"/>
  <c r="I30" i="8"/>
  <c r="I39" i="8" s="1"/>
  <c r="M30" i="8"/>
  <c r="L30" i="8"/>
  <c r="L39" i="8" s="1"/>
  <c r="O30" i="8"/>
  <c r="O39" i="8" s="1"/>
  <c r="K30" i="8"/>
  <c r="K39" i="8" s="1"/>
  <c r="J30" i="8"/>
  <c r="N30" i="8"/>
  <c r="H39" i="8" l="1"/>
  <c r="I32" i="8"/>
  <c r="M39" i="8"/>
  <c r="M32" i="8"/>
  <c r="J32" i="8"/>
  <c r="J39" i="8"/>
  <c r="N32" i="8"/>
  <c r="I22" i="1"/>
  <c r="I40" i="8"/>
  <c r="O40" i="8"/>
  <c r="C4" i="1"/>
  <c r="C20" i="13" s="1"/>
  <c r="O22" i="1"/>
  <c r="K40" i="8"/>
  <c r="K22" i="1"/>
  <c r="G32" i="8"/>
  <c r="H32" i="8"/>
  <c r="G39" i="8"/>
  <c r="L22" i="1"/>
  <c r="L40" i="8"/>
  <c r="L32" i="8"/>
  <c r="K32" i="8"/>
  <c r="O32" i="8"/>
  <c r="N39" i="8"/>
  <c r="H40" i="8" l="1"/>
  <c r="H22" i="1"/>
  <c r="L23" i="1"/>
  <c r="M22" i="1"/>
  <c r="M40" i="8"/>
  <c r="J40" i="8"/>
  <c r="J22" i="1"/>
  <c r="K23" i="1" s="1"/>
  <c r="I12" i="9"/>
  <c r="I16" i="9" s="1"/>
  <c r="I24" i="9" s="1"/>
  <c r="I25" i="9" s="1"/>
  <c r="I24" i="1"/>
  <c r="I28" i="1"/>
  <c r="O49" i="8"/>
  <c r="O28" i="1"/>
  <c r="O24" i="1"/>
  <c r="O12" i="9"/>
  <c r="O16" i="9" s="1"/>
  <c r="K24" i="1"/>
  <c r="K28" i="1"/>
  <c r="K12" i="9"/>
  <c r="K16" i="9" s="1"/>
  <c r="K24" i="9" s="1"/>
  <c r="K25" i="9" s="1"/>
  <c r="G40" i="8"/>
  <c r="G22" i="1"/>
  <c r="D15" i="11"/>
  <c r="D18" i="11" s="1"/>
  <c r="L24" i="1"/>
  <c r="L12" i="9"/>
  <c r="L16" i="9" s="1"/>
  <c r="L24" i="9" s="1"/>
  <c r="L25" i="9" s="1"/>
  <c r="L28" i="1"/>
  <c r="N22" i="1"/>
  <c r="N40" i="8"/>
  <c r="I23" i="1" l="1"/>
  <c r="H12" i="9"/>
  <c r="H16" i="9" s="1"/>
  <c r="H24" i="9" s="1"/>
  <c r="H25" i="9" s="1"/>
  <c r="H28" i="1"/>
  <c r="H24" i="1"/>
  <c r="M24" i="1"/>
  <c r="M23" i="1"/>
  <c r="J23" i="1"/>
  <c r="J12" i="9"/>
  <c r="J16" i="9" s="1"/>
  <c r="J24" i="9" s="1"/>
  <c r="J25" i="9" s="1"/>
  <c r="J28" i="1"/>
  <c r="J24" i="1"/>
  <c r="M12" i="9"/>
  <c r="M16" i="9" s="1"/>
  <c r="M24" i="9" s="1"/>
  <c r="M25" i="9" s="1"/>
  <c r="M28" i="1"/>
  <c r="O50" i="8"/>
  <c r="O45" i="8" s="1"/>
  <c r="G24" i="1"/>
  <c r="G28" i="1"/>
  <c r="G12" i="9"/>
  <c r="G16" i="9" s="1"/>
  <c r="G24" i="9" s="1"/>
  <c r="G25" i="9" s="1"/>
  <c r="H23" i="1"/>
  <c r="G23" i="1"/>
  <c r="O23" i="1"/>
  <c r="N23" i="1"/>
  <c r="N12" i="9"/>
  <c r="N16" i="9" s="1"/>
  <c r="N24" i="9" s="1"/>
  <c r="N25" i="9" s="1"/>
  <c r="N28" i="1"/>
  <c r="N24" i="1"/>
  <c r="O46" i="8" l="1"/>
  <c r="O49" i="1" s="1"/>
  <c r="O47" i="1"/>
  <c r="O20" i="9" s="1"/>
  <c r="O24" i="9" s="1"/>
  <c r="O56" i="8" l="1"/>
  <c r="O48" i="1"/>
  <c r="O25" i="9"/>
  <c r="C33" i="9" s="1"/>
  <c r="C31" i="9"/>
  <c r="C32" i="9" s="1"/>
  <c r="C35" i="9" l="1"/>
  <c r="C45" i="11" l="1"/>
  <c r="C41" i="9"/>
  <c r="C45" i="9" s="1"/>
  <c r="B20" i="13" s="1"/>
  <c r="S34" i="9"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tc={061F00AD-825A-3943-8620-A5E81B6EF101}</author>
    <author>tc={19ECFC57-0BA4-0743-ADE5-F320FD88E58E}</author>
    <author>tc={19CBAA45-5F7A-244C-B6AC-4B9E4BFE2D63}</author>
    <author>tc={7790E908-AB46-064C-BB51-34C880A2A6D1}</author>
    <author>tc={80F76700-C6DE-334D-93EF-DCA2E573B3B3}</author>
    <author>tc={501646E3-3B23-B445-84C9-5FE5F9516F31}</author>
    <author>tc={D33DB4D6-E33E-DA4D-9F35-5DCAF725DEF4}</author>
  </authors>
  <commentList>
    <comment ref="K10" authorId="0" shapeId="0" xr:uid="{061F00AD-825A-3943-8620-A5E81B6EF101}">
      <text>
        <t>[Commento in thread]
La versione di Excel in uso consente di leggere questo commento in thread, ma tutte le modifiche a esso apportate verranno rimosse se il file viene aperto in una versione più recente di Excel. Ulteriori informazioni: https://go.microsoft.com/fwlink/?linkid=870924
Commento:
Fade</t>
      </text>
    </comment>
    <comment ref="E14" authorId="1" shapeId="0" xr:uid="{19ECFC57-0BA4-0743-ADE5-F320FD88E58E}">
      <text>
        <t>[Commento in thread]
La versione di Excel in uso consente di leggere questo commento in thread, ma tutte le modifiche a esso apportate verranno rimosse se il file viene aperto in una versione più recente di Excel. Ulteriori informazioni: https://go.microsoft.com/fwlink/?linkid=870924
Commento:
Driver: cessione di attività (Aerospace &amp; Defense), non domanda bassa</t>
      </text>
    </comment>
    <comment ref="K14" authorId="2" shapeId="0" xr:uid="{19CBAA45-5F7A-244C-B6AC-4B9E4BFE2D63}">
      <text>
        <t xml:space="preserve">[Commento in thread]
La versione di Excel in uso consente di leggere questo commento in thread, ma tutte le modifiche a esso apportate verranno rimosse se il file viene aperto in una versione più recente di Excel. Ulteriori informazioni: https://go.microsoft.com/fwlink/?linkid=870924
Commento:
Fade
</t>
      </text>
    </comment>
    <comment ref="F17" authorId="3" shapeId="0" xr:uid="{7790E908-AB46-064C-BB51-34C880A2A6D1}">
      <text>
        <t>[Commento in thread]
La versione di Excel in uso consente di leggere questo commento in thread, ma tutte le modifiche a esso apportate verranno rimosse se il file viene aperto in una versione più recente di Excel. Ulteriori informazioni: https://go.microsoft.com/fwlink/?linkid=870924
Commento:
Guidance: 
Q1 2027 revenues= 2,2-2,4 
Q4 2027 revenues= &gt;3,0
==&gt;revenues 2027E = 2,3+2,5+2,75+3,0= 10,55</t>
      </text>
    </comment>
    <comment ref="A20" authorId="4" shapeId="0" xr:uid="{80F76700-C6DE-334D-93EF-DCA2E573B3B3}">
      <text>
        <t>[Commento in thread]
La versione di Excel in uso consente di leggere questo commento in thread, ma tutte le modifiche a esso apportate verranno rimosse se il file viene aperto in una versione più recente di Excel. Ulteriori informazioni: https://go.microsoft.com/fwlink/?linkid=870924
Commento:
Divisione per segmenti non disponibile in 10K</t>
      </text>
    </comment>
    <comment ref="A26" authorId="5" shapeId="0" xr:uid="{501646E3-3B23-B445-84C9-5FE5F9516F31}">
      <text>
        <t>[Commento in thread]
La versione di Excel in uso consente di leggere questo commento in thread, ma tutte le modifiche a esso apportate verranno rimosse se il file viene aperto in una versione più recente di Excel. Ulteriori informazioni: https://go.microsoft.com/fwlink/?linkid=870924
Commento:
Divisione per segmenti non disponibile in 10K</t>
      </text>
    </comment>
    <comment ref="F29" authorId="6" shapeId="0" xr:uid="{D33DB4D6-E33E-DA4D-9F35-5DCAF725DEF4}">
      <text>
        <t xml:space="preserve">[Commento in thread]
La versione di Excel in uso consente di leggere questo commento in thread, ma tutte le modifiche a esso apportate verranno rimosse se il file viene aperto in una versione più recente di Excel. Ulteriori informazioni: https://go.microsoft.com/fwlink/?linkid=870924
Commento:
US statutory tax rate. ETR storico non utilizzabile </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tc={0257D175-85AB-2B4D-98C1-8A595156F619}</author>
    <author>tc={160DB544-DCB5-3F41-8C1E-02B10B086C69}</author>
    <author>tc={06DB6832-7CCE-0941-9D00-7850888544DF}</author>
    <author>tc={C5989255-66E7-1E4F-9C1F-202F11C68BA5}</author>
    <author>tc={59A489CA-2CBF-3C4F-9966-110EDB50D2EA}</author>
    <author>tc={476AB9F9-5F2E-2049-9FA2-A5A1BD216D93}</author>
    <author>tc={75CF7005-C6A9-7144-B98A-0139FAF85E95}</author>
  </authors>
  <commentList>
    <comment ref="D4" authorId="0" shapeId="0" xr:uid="{0257D175-85AB-2B4D-98C1-8A595156F619}">
      <text>
        <t>[Commento in thread]
La versione di Excel in uso consente di leggere questo commento in thread, ma tutte le modifiche a esso apportate verranno rimosse se il file viene aperto in una versione più recente di Excel. Ulteriori informazioni: https://go.microsoft.com/fwlink/?linkid=870924
Commento:
Da FactSet</t>
      </text>
    </comment>
    <comment ref="D7" authorId="1" shapeId="0" xr:uid="{160DB544-DCB5-3F41-8C1E-02B10B086C69}">
      <text>
        <t>[Commento in thread]
La versione di Excel in uso consente di leggere questo commento in thread, ma tutte le modifiche a esso apportate verranno rimosse se il file viene aperto in una versione più recente di Excel. Ulteriori informazioni: https://go.microsoft.com/fwlink/?linkid=870924
Commento:
10Y USA</t>
      </text>
    </comment>
    <comment ref="D9" authorId="2" shapeId="0" xr:uid="{06DB6832-7CCE-0941-9D00-7850888544DF}">
      <text>
        <t xml:space="preserve">[Commento in thread]
La versione di Excel in uso consente di leggere questo commento in thread, ma tutte le modifiche a esso apportate verranno rimosse se il file viene aperto in una versione più recente di Excel. Ulteriori informazioni: https://go.microsoft.com/fwlink/?linkid=870924
Commento:
Damodaran
</t>
      </text>
    </comment>
    <comment ref="D14" authorId="3" shapeId="0" xr:uid="{C5989255-66E7-1E4F-9C1F-202F11C68BA5}">
      <text>
        <t>[Commento in thread]
La versione di Excel in uso consente di leggere questo commento in thread, ma tutte le modifiche a esso apportate verranno rimosse se il file viene aperto in una versione più recente di Excel. Ulteriori informazioni: https://go.microsoft.com/fwlink/?linkid=870924
Commento:
Damodaran</t>
      </text>
    </comment>
    <comment ref="D15" authorId="4" shapeId="0" xr:uid="{59A489CA-2CBF-3C4F-9966-110EDB50D2EA}">
      <text>
        <t>[Commento in thread]
La versione di Excel in uso consente di leggere questo commento in thread, ma tutte le modifiche a esso apportate verranno rimosse se il file viene aperto in una versione più recente di Excel. Ulteriori informazioni: https://go.microsoft.com/fwlink/?linkid=870924
Commento:
US statutory</t>
      </text>
    </comment>
    <comment ref="H24" authorId="5" shapeId="0" xr:uid="{476AB9F9-5F2E-2049-9FA2-A5A1BD216D93}">
      <text>
        <t>[Commento in thread]
La versione di Excel in uso consente di leggere questo commento in thread, ma tutte le modifiche a esso apportate verranno rimosse se il file viene aperto in una versione più recente di Excel. Ulteriori informazioni: https://go.microsoft.com/fwlink/?linkid=870924
Commento:
Dati da FactSet</t>
      </text>
    </comment>
    <comment ref="C34" authorId="6" shapeId="0" xr:uid="{75CF7005-C6A9-7144-B98A-0139FAF85E95}">
      <text>
        <t>[Commento in thread]
La versione di Excel in uso consente di leggere questo commento in thread, ma tutte le modifiche a esso apportate verranno rimosse se il file viene aperto in una versione più recente di Excel. Ulteriori informazioni: https://go.microsoft.com/fwlink/?linkid=870924
Commento:
Stima bottom-up sul mix di ricavi atteso al FY2036 usando i beta unlevered del campione settoriale USA di Damodaran, gennaio 2026, re-levered sulla struttura patrimoniale attuale</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tc={88E4CDCB-0C2D-5D4F-ABF1-DF3432D89B63}</author>
    <author>tc={9FF27733-8D21-D343-B6E3-D9AE3A8247B5}</author>
    <author>tc={8E0A18C6-AB34-494D-9E10-F11FF18F3106}</author>
    <author>tc={BCCF94A8-42EB-3241-9FE4-5393F7572995}</author>
    <author>tc={EAB6F989-82EC-B749-AE17-214C19E06388}</author>
    <author>tc={E601283B-7B60-1C45-AC9C-83636733CFCF}</author>
    <author>tc={815E4253-8BE3-184F-B075-854EB69DECCC}</author>
    <author>tc={ABC1C3FC-2092-B340-B21A-FE1BBC1E728C}</author>
    <author>tc={80DD7A4A-B31B-AE4B-AE61-EAB0DF973506}</author>
    <author>tc={5C9E0848-AEF3-1C4C-B109-98FBACA05317}</author>
    <author>tc={9DCBE966-9E71-CC4D-BB07-2DD85509A7E0}</author>
    <author>tc={0A6435F5-C62D-FF4A-80DA-EAE4492BCF11}</author>
    <author>tc={334BAEA3-E628-D04E-A47B-C1E749D6DC96}</author>
    <author>tc={0C2FF988-1349-7248-9ABC-91D9574F51EE}</author>
    <author>tc={A7B7772F-1C86-7648-8A16-ACF13C27EA77}</author>
    <author>tc={FF4C6147-94F8-524F-BDB2-9D742A424DFE}</author>
    <author>tc={565A4550-7D7D-524E-8A59-0EC95CBDA0F0}</author>
    <author>tc={740ADEA0-3F4E-0D4E-A09B-9502F0A3CD4D}</author>
    <author>tc={B346291D-5E31-734C-85FC-9832D102F0CA}</author>
    <author>tc={50B6B29B-73AE-3E48-8408-7AD85CB72E32}</author>
    <author>tc={314F5E07-9328-E14E-82AC-EAF489C4F871}</author>
    <author>tc={079CE004-0DB4-234E-A841-63AD1DA87EA9}</author>
    <author>tc={61F1627B-87E2-6042-84F8-A58211011B44}</author>
    <author>tc={481BF65E-C450-2046-9CB6-4C52712BCBA8}</author>
    <author>tc={1FE5549F-06AB-1E40-9A7D-5F58ED7FE863}</author>
    <author>tc={752831E2-0212-A04A-8F48-852F04160AA9}</author>
    <author>tc={4F645672-C2D9-DD4F-B60A-6987DC8088CB}</author>
    <author>tc={2927FECF-3E87-F847-9A68-D2D69E7D02AE}</author>
    <author>tc={F3D82ADF-A868-7047-A97B-51E021E12F4E}</author>
    <author>tc={234E07FA-4293-704E-AF10-084BC3A653DC}</author>
    <author>tc={DBF57903-0270-3042-96BA-8EC3D2303E47}</author>
    <author>tc={85A98539-035F-3241-88B9-9F2B96CB33EB}</author>
    <author>tc={55D8043E-3F94-0941-9497-85BE20B184F4}</author>
    <author>tc={09B62919-6740-D44F-8DCB-41CD072D6FE1}</author>
    <author>tc={97668F59-29C2-C04D-B185-C2DC0F23EB36}</author>
    <author>tc={BE1E8862-7C52-7145-8A4E-F25BEF8371E9}</author>
    <author>tc={E90B3A69-9A6C-1E46-AD25-D8A06F7590A8}</author>
    <author>tc={A4152C05-3BF2-2948-89C1-4C74E058023B}</author>
    <author>tc={C41A44CD-CAF7-7743-AEAA-09D1DE6BD3FE}</author>
    <author>tc={8057CB7B-809B-3441-AA8F-19A45ABBE783}</author>
    <author>tc={D1DA62F9-CB6D-5247-962D-6F065C8C3D7F}</author>
  </authors>
  <commentList>
    <comment ref="C7" authorId="0" shapeId="0" xr:uid="{88E4CDCB-0C2D-5D4F-ABF1-DF3432D89B63}">
      <text>
        <t>[Commento in thread]
La versione di Excel in uso consente di leggere questo commento in thread, ma tutte le modifiche a esso apportate verranno rimosse se il file viene aperto in una versione più recente di Excel. Ulteriori informazioni: https://go.microsoft.com/fwlink/?linkid=870924
Commento:
Fade trimestrale</t>
      </text>
    </comment>
    <comment ref="K7" authorId="1" shapeId="0" xr:uid="{9FF27733-8D21-D343-B6E3-D9AE3A8247B5}">
      <text>
        <t>[Commento in thread]
La versione di Excel in uso consente di leggere questo commento in thread, ma tutte le modifiche a esso apportate verranno rimosse se il file viene aperto in una versione più recente di Excel. Ulteriori informazioni: https://go.microsoft.com/fwlink/?linkid=870924
Commento:
Finestra di rischio ciclico, decelerazione</t>
      </text>
    </comment>
    <comment ref="C8" authorId="2" shapeId="0" xr:uid="{8E0A18C6-AB34-494D-9E10-F11FF18F3106}">
      <text>
        <t>[Commento in thread]
La versione di Excel in uso consente di leggere questo commento in thread, ma tutte le modifiche a esso apportate verranno rimosse se il file viene aperto in una versione più recente di Excel. Ulteriori informazioni: https://go.microsoft.com/fwlink/?linkid=870924
Commento:
Fade trimestrale</t>
      </text>
    </comment>
    <comment ref="K8" authorId="3" shapeId="0" xr:uid="{BCCF94A8-42EB-3241-9FE4-5393F7572995}">
      <text>
        <t>[Commento in thread]
La versione di Excel in uso consente di leggere questo commento in thread, ma tutte le modifiche a esso apportate verranno rimosse se il file viene aperto in una versione più recente di Excel. Ulteriori informazioni: https://go.microsoft.com/fwlink/?linkid=870924
Commento:
Finestra di rischio ciclico</t>
      </text>
    </comment>
    <comment ref="K9" authorId="4" shapeId="0" xr:uid="{EAB6F989-82EC-B749-AE17-214C19E06388}">
      <text>
        <t>[Commento in thread]
La versione di Excel in uso consente di leggere questo commento in thread, ma tutte le modifiche a esso apportate verranno rimosse se il file viene aperto in una versione più recente di Excel. Ulteriori informazioni: https://go.microsoft.com/fwlink/?linkid=870924
Commento:
Base case scenario da LightCounting</t>
      </text>
    </comment>
    <comment ref="K15" authorId="5" shapeId="0" xr:uid="{E601283B-7B60-1C45-AC9C-83636733CFCF}">
      <text>
        <t xml:space="preserve">[Commento in thread]
La versione di Excel in uso consente di leggere questo commento in thread, ma tutte le modifiche a esso apportate verranno rimosse se il file viene aperto in una versione più recente di Excel. Ulteriori informazioni: https://go.microsoft.com/fwlink/?linkid=870924
Commento:
Ripresa
</t>
      </text>
    </comment>
    <comment ref="K16" authorId="6" shapeId="0" xr:uid="{815E4253-8BE3-184F-B075-854EB69DECCC}">
      <text>
        <t>[Commento in thread]
La versione di Excel in uso consente di leggere questo commento in thread, ma tutte le modifiche a esso apportate verranno rimosse se il file viene aperto in una versione più recente di Excel. Ulteriori informazioni: https://go.microsoft.com/fwlink/?linkid=870924
Commento:
Ripresa</t>
      </text>
    </comment>
    <comment ref="K17" authorId="7" shapeId="0" xr:uid="{ABC1C3FC-2092-B340-B21A-FE1BBC1E728C}">
      <text>
        <t xml:space="preserve">[Commento in thread]
La versione di Excel in uso consente di leggere questo commento in thread, ma tutte le modifiche a esso apportate verranno rimosse se il file viene aperto in una versione più recente di Excel. Ulteriori informazioni: https://go.microsoft.com/fwlink/?linkid=870924
Commento:
Convergenza graduale al PIL nominale </t>
      </text>
    </comment>
    <comment ref="K18" authorId="8" shapeId="0" xr:uid="{80DD7A4A-B31B-AE4B-AE61-EAB0DF973506}">
      <text>
        <t>[Commento in thread]
La versione di Excel in uso consente di leggere questo commento in thread, ma tutte le modifiche a esso apportate verranno rimosse se il file viene aperto in una versione più recente di Excel. Ulteriori informazioni: https://go.microsoft.com/fwlink/?linkid=870924
Commento:
Convergenza al PIL nominale</t>
      </text>
    </comment>
    <comment ref="F28" authorId="9" shapeId="0" xr:uid="{5C9E0848-AEF3-1C4C-B109-98FBACA05317}">
      <text>
        <t>[Commento in thread]
La versione di Excel in uso consente di leggere questo commento in thread, ma tutte le modifiche a esso apportate verranno rimosse se il file viene aperto in una versione più recente di Excel. Ulteriori informazioni: https://go.microsoft.com/fwlink/?linkid=870924
Commento:
Guidance FY2027: non-GAAP Gross margin between 39,5 and 41,5 --&gt; punto medio: 40,5.
In FY2026 gap between non GAAP and GAAP Gross margin: 39,4-37,5= 1,9
--&gt; Gross margin FY2027 GAAP: 40,5-1,9= 38,6</t>
      </text>
    </comment>
    <comment ref="P28" authorId="10" shapeId="0" xr:uid="{9DCBE966-9E71-CC4D-BB07-2DD85509A7E0}">
      <text>
        <t>[Commento in thread]
La versione di Excel in uso consente di leggere questo commento in thread, ma tutte le modifiche a esso apportate verranno rimosse se il file viene aperto in una versione più recente di Excel. Ulteriori informazioni: https://go.microsoft.com/fwlink/?linkid=870924
Commento:
Espansione. Drivers:mix D&amp;C; InP 6" (4x output a metà costo/wafer,  da CFO)</t>
      </text>
    </comment>
    <comment ref="F31" authorId="11" shapeId="0" xr:uid="{0A6435F5-C62D-FF4A-80DA-EAE4492BCF11}">
      <text>
        <t>[Commento in thread]
La versione di Excel in uso consente di leggere questo commento in thread, ma tutte le modifiche a esso apportate verranno rimosse se il file viene aperto in una versione più recente di Excel. Ulteriori informazioni: https://go.microsoft.com/fwlink/?linkid=870924
Commento:
Media storica</t>
      </text>
    </comment>
    <comment ref="L31" authorId="12" shapeId="0" xr:uid="{334BAEA3-E628-D04E-A47B-C1E749D6DC96}">
      <text>
        <t xml:space="preserve">[Commento in thread]
La versione di Excel in uso consente di leggere questo commento in thread, ma tutte le modifiche a esso apportate verranno rimosse se il file viene aperto in una versione più recente di Excel. Ulteriori informazioni: https://go.microsoft.com/fwlink/?linkid=870924
Commento:
Storico piatto al 10%, ricavi in aumento
--&gt; assumo poca diluizione: -1% fino al FY 2033 e poi flat </t>
      </text>
    </comment>
    <comment ref="F34" authorId="13" shapeId="0" xr:uid="{0C2FF988-1349-7248-9ABC-91D9574F51EE}">
      <text>
        <t>[Commento in thread]
La versione di Excel in uso consente di leggere questo commento in thread, ma tutte le modifiche a esso apportate verranno rimosse se il file viene aperto in una versione più recente di Excel. Ulteriori informazioni: https://go.microsoft.com/fwlink/?linkid=870924
Commento:
Storico già in discesa</t>
      </text>
    </comment>
    <comment ref="E36" authorId="14" shapeId="0" xr:uid="{A7B7772F-1C86-7648-8A16-ACF13C27EA77}">
      <text>
        <t>[Commento in thread]
La versione di Excel in uso consente di leggere questo commento in thread, ma tutte le modifiche a esso apportate verranno rimosse se il file viene aperto in una versione più recente di Excel. Ulteriori informazioni: https://go.microsoft.com/fwlink/?linkid=870924
Commento:
Anomalia data da "gain on sale of business"
Senza: restructuring (63,4) + impairment (64,4) = 127,8</t>
      </text>
    </comment>
    <comment ref="F36" authorId="15" shapeId="0" xr:uid="{FF4C6147-94F8-524F-BDB2-9D742A424DFE}">
      <text>
        <t>[Commento in thread]
La versione di Excel in uso consente di leggere questo commento in thread, ma tutte le modifiche a esso apportate verranno rimosse se il file viene aperto in una versione più recente di Excel. Ulteriori informazioni: https://go.microsoft.com/fwlink/?linkid=870924
Commento:
Fade da 127,8 (livello ricorrente FY2026)</t>
      </text>
    </comment>
    <comment ref="J36" authorId="16" shapeId="0" xr:uid="{565A4550-7D7D-524E-8A59-0EC95CBDA0F0}">
      <text>
        <t>[Commento in thread]
La versione di Excel in uso consente di leggere questo commento in thread, ma tutte le modifiche a esso apportate verranno rimosse se il file viene aperto in una versione più recente di Excel. Ulteriori informazioni: https://go.microsoft.com/fwlink/?linkid=870924
Commento:
Restructuring: deriva dalla fusione II-VI 2022
--&gt; Temporaneo.</t>
      </text>
    </comment>
    <comment ref="F45" authorId="17" shapeId="0" xr:uid="{740ADEA0-3F4E-0D4E-A09B-9502F0A3CD4D}">
      <text>
        <t>[Commento in thread]
La versione di Excel in uso consente di leggere questo commento in thread, ma tutte le modifiche a esso apportate verranno rimosse se il file viene aperto in una versione più recente di Excel. Ulteriori informazioni: https://go.microsoft.com/fwlink/?linkid=870924
Commento:
Metodo bottom-up sulla guidance</t>
      </text>
    </comment>
    <comment ref="H45" authorId="18" shapeId="0" xr:uid="{B346291D-5E31-734C-85FC-9832D102F0CA}">
      <text>
        <t>[Commento in thread]
La versione di Excel in uso consente di leggere questo commento in thread, ma tutte le modifiche a esso apportate verranno rimosse se il file viene aperto in una versione più recente di Excel. Ulteriori informazioni: https://go.microsoft.com/fwlink/?linkid=870924
Commento:
Capex = Deprec + ΔRicavi/efficienza
(metodo sales-to-capital)</t>
      </text>
    </comment>
    <comment ref="O45" authorId="19" shapeId="0" xr:uid="{50B6B29B-73AE-3E48-8408-7AD85CB72E32}">
      <text>
        <t xml:space="preserve">[Commento in thread]
La versione di Excel in uso consente di leggere questo commento in thread, ma tutte le modifiche a esso apportate verranno rimosse se il file viene aperto in una versione più recente di Excel. Ulteriori informazioni: https://go.microsoft.com/fwlink/?linkid=870924
Commento:
Reinvestimento − ΔNWC + Deprec
</t>
      </text>
    </comment>
    <comment ref="F46" authorId="20" shapeId="0" xr:uid="{314F5E07-9328-E14E-82AC-EAF489C4F871}">
      <text>
        <t>[Commento in thread]
La versione di Excel in uso consente di leggere questo commento in thread, ma tutte le modifiche a esso apportate verranno rimosse se il file viene aperto in una versione più recente di Excel. Ulteriori informazioni: https://go.microsoft.com/fwlink/?linkid=870924
Commento:
Run rate Q4 FY26 = 27,2%.
Guidance: "up sequencially"</t>
      </text>
    </comment>
    <comment ref="O48" authorId="21" shapeId="0" xr:uid="{079CE004-0DB4-234E-A841-63AD1DA87EA9}">
      <text>
        <t>[Commento in thread]
La versione di Excel in uso consente di leggere questo commento in thread, ma tutte le modifiche a esso apportate verranno rimosse se il file viene aperto in una versione più recente di Excel. Ulteriori informazioni: https://go.microsoft.com/fwlink/?linkid=870924
Commento:
Guidance: Payback =1,5 anni
Ricavi incrementali = (1/1,5)/(gross margin) OR (1/1,5)/(EBITDA)
--&gt; Media ricavi incrementali= 2,1</t>
      </text>
    </comment>
    <comment ref="F59" authorId="22" shapeId="0" xr:uid="{61F1627B-87E2-6042-84F8-A58211011B44}">
      <text>
        <t>[Commento in thread]
La versione di Excel in uso consente di leggere questo commento in thread, ma tutte le modifiche a esso apportate verranno rimosse se il file viene aperto in una versione più recente di Excel. Ulteriori informazioni: https://go.microsoft.com/fwlink/?linkid=870924
Commento:
Da 10K, Note "goodwill and other intangible assets"</t>
      </text>
    </comment>
    <comment ref="G59" authorId="23" shapeId="0" xr:uid="{481BF65E-C450-2046-9CB6-4C52712BCBA8}">
      <text>
        <t>[Commento in thread]
La versione di Excel in uso consente di leggere questo commento in thread, ma tutte le modifiche a esso apportate verranno rimosse se il file viene aperto in una versione più recente di Excel. Ulteriori informazioni: https://go.microsoft.com/fwlink/?linkid=870924
Commento:
Da 10K, Note "goodwill and other intangible assets"</t>
      </text>
    </comment>
    <comment ref="H59" authorId="24" shapeId="0" xr:uid="{1FE5549F-06AB-1E40-9A7D-5F58ED7FE863}">
      <text>
        <t>[Commento in thread]
La versione di Excel in uso consente di leggere questo commento in thread, ma tutte le modifiche a esso apportate verranno rimosse se il file viene aperto in una versione più recente di Excel. Ulteriori informazioni: https://go.microsoft.com/fwlink/?linkid=870924
Commento:
Da 10K, Note "goodwill and other intangible assets"</t>
      </text>
    </comment>
    <comment ref="I59" authorId="25" shapeId="0" xr:uid="{752831E2-0212-A04A-8F48-852F04160AA9}">
      <text>
        <t>[Commento in thread]
La versione di Excel in uso consente di leggere questo commento in thread, ma tutte le modifiche a esso apportate verranno rimosse se il file viene aperto in una versione più recente di Excel. Ulteriori informazioni: https://go.microsoft.com/fwlink/?linkid=870924
Commento:
Da 10K, Note "goodwill and other intangible assets"</t>
      </text>
    </comment>
    <comment ref="J59" authorId="26" shapeId="0" xr:uid="{4F645672-C2D9-DD4F-B60A-6987DC8088CB}">
      <text>
        <t>[Commento in thread]
La versione di Excel in uso consente di leggere questo commento in thread, ma tutte le modifiche a esso apportate verranno rimosse se il file viene aperto in una versione più recente di Excel. Ulteriori informazioni: https://go.microsoft.com/fwlink/?linkid=870924
Commento:
Da 10K, Note "goodwill and other intangible assets"</t>
      </text>
    </comment>
    <comment ref="K59" authorId="27" shapeId="0" xr:uid="{2927FECF-3E87-F847-9A68-D2D69E7D02AE}">
      <text>
        <t>[Commento in thread]
La versione di Excel in uso consente di leggere questo commento in thread, ma tutte le modifiche a esso apportate verranno rimosse se il file viene aperto in una versione più recente di Excel. Ulteriori informazioni: https://go.microsoft.com/fwlink/?linkid=870924
Commento:
Residuo oltre l'orizzonte della nota diviso per 5 anni</t>
      </text>
    </comment>
    <comment ref="J60" authorId="28" shapeId="0" xr:uid="{F3D82ADF-A868-7047-A97B-51E021E12F4E}">
      <text>
        <t>[Commento in thread]
La versione di Excel in uso consente di leggere questo commento in thread, ma tutte le modifiche a esso apportate verranno rimosse se il file viene aperto in una versione più recente di Excel. Ulteriori informazioni: https://go.microsoft.com/fwlink/?linkid=870924
Commento:
Intangibili netti totali  = 2884,474
- trade names = 430
==&gt; 2454,474
Da 10k, nota "goodwill and other intangible assests"</t>
      </text>
    </comment>
    <comment ref="C68" authorId="29" shapeId="0" xr:uid="{234E07FA-4293-704E-AF10-084BC3A653DC}">
      <text>
        <t>[Commento in thread]
La versione di Excel in uso consente di leggere questo commento in thread, ma tutte le modifiche a esso apportate verranno rimosse se il file viene aperto in una versione più recente di Excel. Ulteriori informazioni: https://go.microsoft.com/fwlink/?linkid=870924
Commento:
Account receivables FY 2024 from 10K 25 = 848,542</t>
      </text>
    </comment>
    <comment ref="F68" authorId="30" shapeId="0" xr:uid="{DBF57903-0270-3042-96BA-8EC3D2303E47}">
      <text>
        <t xml:space="preserve">[Commento in thread]
La versione di Excel in uso consente di leggere questo commento in thread, ma tutte le modifiche a esso apportate verranno rimosse se il file viene aperto in una versione più recente di Excel. Ulteriori informazioni: https://go.microsoft.com/fwlink/?linkid=870924
Commento:
Media storica 
</t>
      </text>
    </comment>
    <comment ref="C69" authorId="31" shapeId="0" xr:uid="{85A98539-035F-3241-88B9-9F2B96CB33EB}">
      <text>
        <t>[Commento in thread]
La versione di Excel in uso consente di leggere questo commento in thread, ma tutte le modifiche a esso apportate verranno rimosse se il file viene aperto in una versione più recente di Excel. Ulteriori informazioni: https://go.microsoft.com/fwlink/?linkid=870924
Commento:
Inventories FY 2024 from 10K 25 =1286,404</t>
      </text>
    </comment>
    <comment ref="E69" authorId="32" shapeId="0" xr:uid="{55D8043E-3F94-0941-9497-85BE20B184F4}">
      <text>
        <t>[Commento in thread]
La versione di Excel in uso consente di leggere questo commento in thread, ma tutte le modifiche a esso apportate verranno rimosse se il file viene aperto in una versione più recente di Excel. Ulteriori informazioni: https://go.microsoft.com/fwlink/?linkid=870924
Commento:
Driver jump: accumulo magazzino in vista del ramp</t>
      </text>
    </comment>
    <comment ref="F69" authorId="33" shapeId="0" xr:uid="{09B62919-6740-D44F-8DCB-41CD072D6FE1}">
      <text>
        <t xml:space="preserve">[Commento in thread]
La versione di Excel in uso consente di leggere questo commento in thread, ma tutte le modifiche a esso apportate verranno rimosse se il file viene aperto in una versione più recente di Excel. Ulteriori informazioni: https://go.microsoft.com/fwlink/?linkid=870924
Commento:
FY2026 riflette l'accumulo di magazzino in vista del ramp produttivo  degli anni seguenti. FY2024 e FY2025 sono pre InP 6".
--&gt; 180 è una buona via di mezzo
</t>
      </text>
    </comment>
    <comment ref="C70" authorId="34" shapeId="0" xr:uid="{97668F59-29C2-C04D-B185-C2DC0F23EB36}">
      <text>
        <t>[Commento in thread]
La versione di Excel in uso consente di leggere questo commento in thread, ma tutte le modifiche a esso apportate verranno rimosse se il file viene aperto in una versione più recente di Excel. Ulteriori informazioni: https://go.microsoft.com/fwlink/?linkid=870924
Commento:
Account payables FY 2024 from 10K 25 =631,548</t>
      </text>
    </comment>
    <comment ref="E70" authorId="35" shapeId="0" xr:uid="{BE1E8862-7C52-7145-8A4E-F25BEF8371E9}">
      <text>
        <t>[Commento in thread]
La versione di Excel in uso consente di leggere questo commento in thread, ma tutte le modifiche a esso apportate verranno rimosse se il file viene aperto in una versione più recente di Excel. Ulteriori informazioni: https://go.microsoft.com/fwlink/?linkid=870924
Commento:
Driver jump: debiti verso fornitori derivanti da CapEx,accumulo magazzino in vista del ramp</t>
      </text>
    </comment>
    <comment ref="F70" authorId="36" shapeId="0" xr:uid="{E90B3A69-9A6C-1E46-AD25-D8A06F7590A8}">
      <text>
        <t>[Commento in thread]
La versione di Excel in uso consente di leggere questo commento in thread, ma tutte le modifiche a esso apportate verranno rimosse se il file viene aperto in una versione più recente di Excel. Ulteriori informazioni: https://go.microsoft.com/fwlink/?linkid=870924
Commento:
Via di mezzo tra storico e picco</t>
      </text>
    </comment>
    <comment ref="E71" authorId="37" shapeId="0" xr:uid="{A4152C05-3BF2-2948-89C1-4C74E058023B}">
      <text>
        <t>[Commento in thread]
La versione di Excel in uso consente di leggere questo commento in thread, ma tutte le modifiche a esso apportate verranno rimosse se il file viene aperto in una versione più recente di Excel. Ulteriori informazioni: https://go.microsoft.com/fwlink/?linkid=870924
Commento:
Driver jump: anticipi ai fornitori pre ramp</t>
      </text>
    </comment>
    <comment ref="F71" authorId="38" shapeId="0" xr:uid="{C41A44CD-CAF7-7743-AEAA-09D1DE6BD3FE}">
      <text>
        <t>[Commento in thread]
La versione di Excel in uso consente di leggere questo commento in thread, ma tutte le modifiche a esso apportate verranno rimosse se il file viene aperto in una versione più recente di Excel. Ulteriori informazioni: https://go.microsoft.com/fwlink/?linkid=870924
Commento:
Via di mezzo tra storico e picco</t>
      </text>
    </comment>
    <comment ref="F72" authorId="39" shapeId="0" xr:uid="{8057CB7B-809B-3441-AA8F-19A45ABBE783}">
      <text>
        <t xml:space="preserve">[Commento in thread]
La versione di Excel in uso consente di leggere questo commento in thread, ma tutte le modifiche a esso apportate verranno rimosse se il file viene aperto in una versione più recente di Excel. Ulteriori informazioni: https://go.microsoft.com/fwlink/?linkid=870924
Commento:
Livello storico </t>
      </text>
    </comment>
    <comment ref="F73" authorId="40" shapeId="0" xr:uid="{D1DA62F9-CB6D-5247-962D-6F065C8C3D7F}">
      <text>
        <t>[Commento in thread]
La versione di Excel in uso consente di leggere questo commento in thread, ma tutte le modifiche a esso apportate verranno rimosse se il file viene aperto in una versione più recente di Excel. Ulteriori informazioni: https://go.microsoft.com/fwlink/?linkid=870924
Commento:
Livello storico</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tc={F0060545-45D0-A74F-8BB0-A23F7C13CE18}</author>
    <author>tc={A5BAAC2E-B40F-8041-A07F-5EC7C546B288}</author>
    <author>tc={2392A2FF-9C35-A146-9DA9-A972ACEC8E5B}</author>
    <author>tc={1FA6DFDE-9C67-CF44-99F7-960F446088C5}</author>
    <author>tc={D31EA64A-8906-7044-88E2-306676FF0428}</author>
    <author>tc={47B17152-4DDD-9642-ADEF-41B4A8136122}</author>
    <author>tc={AF896AF4-8740-7E49-8108-70F8DD46C1F4}</author>
  </authors>
  <commentList>
    <comment ref="B4" authorId="0" shapeId="0" xr:uid="{F0060545-45D0-A74F-8BB0-A23F7C13CE18}">
      <text>
        <t xml:space="preserve">[Commento in thread]
La versione di Excel in uso consente di leggere questo commento in thread, ma tutte le modifiche a esso apportate verranno rimosse se il file viene aperto in una versione più recente di Excel. Ulteriori informazioni: https://go.microsoft.com/fwlink/?linkid=870924
Commento:
BEAR - Il passaggio ai 1.6T ritarda. I concorrenti abbassano i prezzi sugli 800G. Il co-packaged optics arriva prima e toglie
mercato ai moduli tradizionali. 
BASE - L'AI prosegue come stima LightCounting. Il
passaggio 800G-&gt;1.6T avviene nei tempi previsti. Coherent tiene la sua posizione.
BULL - Il co-packaged optics slitta e i moduli 1.6T restano lo
standard più a lungo. Coherent produce internamente l'InP di conseguenza riesce a guadagnare quota.
</t>
      </text>
    </comment>
    <comment ref="A9" authorId="1" shapeId="0" xr:uid="{A5BAAC2E-B40F-8041-A07F-5EC7C546B288}">
      <text>
        <t xml:space="preserve">[Commento in thread]
La versione di Excel in uso consente di leggere questo commento in thread, ma tutte le modifiche a esso apportate verranno rimosse se il file viene aperto in una versione più recente di Excel. Ulteriori informazioni: https://go.microsoft.com/fwlink/?linkid=870924
Commento:
BEAR - I prezzi scendono più in fretta del previsto.
BASE - Crescita in linea con la guidance del management e con le stime di LightCounting.
BULL - La domanda supera la capacità del settore e i prezzi rimangono alti.
</t>
      </text>
    </comment>
    <comment ref="A10" authorId="2" shapeId="0" xr:uid="{2392A2FF-9C35-A146-9DA9-A972ACEC8E5B}">
      <text>
        <t xml:space="preserve">[Commento in thread]
La versione di Excel in uso consente di leggere questo commento in thread, ma tutte le modifiche a esso apportate verranno rimosse se il file viene aperto in una versione più recente di Excel. Ulteriori informazioni: https://go.microsoft.com/fwlink/?linkid=870924
Commento:
BEAR - Il passaggio ai 1.6T  slitta e i prezzi degli 800G sono sotto pressione.
BASE - Il mercato dei transceiver decelera dopo il picco, come
stima LightCounting.
BULL - I moduli tradizionali restano lo standard e Coherent guadagna quota.
</t>
      </text>
    </comment>
    <comment ref="A11" authorId="3" shapeId="0" xr:uid="{1FA6DFDE-9C67-CF44-99F7-960F446088C5}">
      <text>
        <t xml:space="preserve">[Commento in thread]
La versione di Excel in uso consente di leggere questo commento in thread, ma tutte le modifiche a esso apportate verranno rimosse se il file viene aperto in una versione più recente di Excel. Ulteriori informazioni: https://go.microsoft.com/fwlink/?linkid=870924
Commento:
BEAR - Il ciclo AI è maturo, la crescita rallenta.
BASE - Decelerazione graduale verso la crescita di lungo periodo.
BULL - Il ciclo AI si allunga grazie a nuovi investimenti.
</t>
      </text>
    </comment>
    <comment ref="A12" authorId="4" shapeId="0" xr:uid="{D31EA64A-8906-7044-88E2-306676FF0428}">
      <text>
        <t>[Commento in thread]
La versione di Excel in uso consente di leggere questo commento in thread, ma tutte le modifiche a esso apportate verranno rimosse se il file viene aperto in una versione più recente di Excel. Ulteriori informazioni: https://go.microsoft.com/fwlink/?linkid=870924
Commento:
BEAR - Prezzi più bassi e mix
peggiore.
BASE - Coincide con l'obiettivo di lungo periodo dichiarato dal
management.
BULL  - Premio sui 1.6T,  la produzione interna dell'InP
abbassa i costi.</t>
      </text>
    </comment>
    <comment ref="A13" authorId="5" shapeId="0" xr:uid="{47B17152-4DDD-9642-ADEF-41B4A8136122}">
      <text>
        <t>[Commento in thread]
La versione di Excel in uso consente di leggere questo commento in thread, ma tutte le modifiche a esso apportate verranno rimosse se il file viene aperto in una versione più recente di Excel. Ulteriori informazioni: https://go.microsoft.com/fwlink/?linkid=870924
Commento:
BEAR - I ricavi crescono meno, i costi fissi si diluiscono più lentamente.
BASE - Diluizione normale dei costi fissi su ricavi.
BULL - Ricavi più alti, stessa struttura di costi</t>
      </text>
    </comment>
    <comment ref="A14" authorId="6" shapeId="0" xr:uid="{AF896AF4-8740-7E49-8108-70F8DD46C1F4}">
      <text>
        <t xml:space="preserve">[Commento in thread]
La versione di Excel in uso consente di leggere questo commento in thread, ma tutte le modifiche a esso apportate verranno rimosse se il file viene aperto in una versione più recente di Excel. Ulteriori informazioni: https://go.microsoft.com/fwlink/?linkid=870924
Commento:
BEAR - crescita quasi zero, solo inflazione.
BASE - Crescita un po' più dell'economia.
BULL  - Crescita più veloce dell'economia
(Upper bound: risk free rate (4,68%). Lower bound: inflazione (2%).) 
</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tc={1E208810-D3BE-0E47-B72C-11BDE645AE0A}</author>
  </authors>
  <commentList>
    <comment ref="C43" authorId="0" shapeId="0" xr:uid="{1E208810-D3BE-0E47-B72C-11BDE645AE0A}">
      <text>
        <t>[Commento in thread]
La versione di Excel in uso consente di leggere questo commento in thread, ma tutte le modifiche a esso apportate verranno rimosse se il file viene aperto in una versione più recente di Excel. Ulteriori informazioni: https://go.microsoft.com/fwlink/?linkid=870924
Commento:
Da 10K</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tc={906858EC-D305-8B4E-912F-0188B78ACF29}</author>
  </authors>
  <commentList>
    <comment ref="C45" authorId="0" shapeId="0" xr:uid="{906858EC-D305-8B4E-912F-0188B78ACF29}">
      <text>
        <t>[Commento in thread]
La versione di Excel in uso consente di leggere questo commento in thread, ma tutte le modifiche a esso apportate verranno rimosse se il file viene aperto in una versione più recente di Excel. Ulteriori informazioni: https://go.microsoft.com/fwlink/?linkid=870924
Commento:
Multiplo implicito nel DCF sotto la mediana dei peer.
--&gt;DCF più conservativo del mercato</t>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tc={8E899737-B3F6-CB4E-9AA3-0903F5964F6B}</author>
    <author>tc={2B321163-9233-0A4D-845C-5B7644D7DD7F}</author>
    <author>tc={290FD8A1-F854-8E4D-A9C7-9F8D2CC4F600}</author>
    <author>tc={F52BA8C6-2755-0D42-807B-8CE7B26FA1E5}</author>
  </authors>
  <commentList>
    <comment ref="E6" authorId="0" shapeId="0" xr:uid="{8E899737-B3F6-CB4E-9AA3-0903F5964F6B}">
      <text>
        <t xml:space="preserve">[Commento in thread]
La versione di Excel in uso consente di leggere questo commento in thread, ma tutte le modifiche a esso apportate verranno rimosse se il file viene aperto in una versione più recente di Excel. Ulteriori informazioni: https://go.microsoft.com/fwlink/?linkid=870924
Commento:
Consensus
</t>
      </text>
    </comment>
    <comment ref="E7" authorId="1" shapeId="0" xr:uid="{2B321163-9233-0A4D-845C-5B7644D7DD7F}">
      <text>
        <t>[Commento in thread]
La versione di Excel in uso consente di leggere questo commento in thread, ma tutte le modifiche a esso apportate verranno rimosse se il file viene aperto in una versione più recente di Excel. Ulteriori informazioni: https://go.microsoft.com/fwlink/?linkid=870924
Commento:
Dal modello</t>
      </text>
    </comment>
    <comment ref="C36" authorId="2" shapeId="0" xr:uid="{290FD8A1-F854-8E4D-A9C7-9F8D2CC4F600}">
      <text>
        <t>[Commento in thread]
La versione di Excel in uso consente di leggere questo commento in thread, ma tutte le modifiche a esso apportate verranno rimosse se il file viene aperto in una versione più recente di Excel. Ulteriori informazioni: https://go.microsoft.com/fwlink/?linkid=870924
Commento:
da EBITDA di consensus</t>
      </text>
    </comment>
    <comment ref="D36" authorId="3" shapeId="0" xr:uid="{F52BA8C6-2755-0D42-807B-8CE7B26FA1E5}">
      <text>
        <t>[Commento in thread]
La versione di Excel in uso consente di leggere questo commento in thread, ma tutte le modifiche a esso apportate verranno rimosse se il file viene aperto in una versione più recente di Excel. Ulteriori informazioni: https://go.microsoft.com/fwlink/?linkid=870924
Commento:
Da EBITDA del modello</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<sst xmlns="http://schemas.openxmlformats.org/spreadsheetml/2006/main" count="446" uniqueCount="290">
  <si>
    <t>Revenues</t>
  </si>
  <si>
    <t>Datacenter &amp; Communications</t>
  </si>
  <si>
    <t>% of sales</t>
  </si>
  <si>
    <t>% growth</t>
  </si>
  <si>
    <t>Industrial</t>
  </si>
  <si>
    <t>Total segment revenue</t>
  </si>
  <si>
    <t>Coherent Corp. and Subsidiaries - Consolidated Balance Sheets ($ in millions)</t>
  </si>
  <si>
    <t>June 30,</t>
  </si>
  <si>
    <t>Assets</t>
  </si>
  <si>
    <t>Current Assets</t>
  </si>
  <si>
    <t>Cash and cash equivalents</t>
  </si>
  <si>
    <t>Restricted cash, current</t>
  </si>
  <si>
    <t>Short-term investments</t>
  </si>
  <si>
    <t>—</t>
  </si>
  <si>
    <t>Accounts receivable - less allowance for doubtful accounts of $ 13,193 at June 30, 2026 and $ 12,189 at June 30, 2025</t>
  </si>
  <si>
    <t>Inventories</t>
  </si>
  <si>
    <t>Prepaid and refundable income taxes</t>
  </si>
  <si>
    <t>Prepaid and other current assets</t>
  </si>
  <si>
    <t>Total Current Assets</t>
  </si>
  <si>
    <t>Property, plant &amp; equipment, net</t>
  </si>
  <si>
    <t>Goodwill</t>
  </si>
  <si>
    <t>Other intangible assets, net</t>
  </si>
  <si>
    <t>Deferred income taxes</t>
  </si>
  <si>
    <t>Restricted cash, non-current</t>
  </si>
  <si>
    <t>Other assets</t>
  </si>
  <si>
    <t>Total Assets</t>
  </si>
  <si>
    <t>Liabilities, Mezzanine Equity and Shareholders' Equity</t>
  </si>
  <si>
    <t>Current Liabilities</t>
  </si>
  <si>
    <t>Current portion of long-term debt</t>
  </si>
  <si>
    <t>Accounts payable</t>
  </si>
  <si>
    <t>Accrued compensation and benefits</t>
  </si>
  <si>
    <t>Operating lease current liabilities</t>
  </si>
  <si>
    <t>Accrued income taxes payable</t>
  </si>
  <si>
    <t>Other accrued liabilities</t>
  </si>
  <si>
    <t>Total Current Liabilities</t>
  </si>
  <si>
    <t>Long-term debt</t>
  </si>
  <si>
    <t>Operating lease liabilities</t>
  </si>
  <si>
    <t>Other liabilities</t>
  </si>
  <si>
    <t>Total Liabilities</t>
  </si>
  <si>
    <t>Mezzanine Equity</t>
  </si>
  <si>
    <t>Series B redeemable convertible preferred stock, no par value, 5 % cumulative; issued - 0 and 215,000 shares at June 30, 2026 and June 30, 2025, respectively; redemption value - $ 0 and $ 2,540,110 , respectively</t>
  </si>
  <si>
    <t>Shareholders' Equity</t>
  </si>
  <si>
    <t>Common stock, no par value; authorized - 300,000,000 shares; issued - 212,615,894 shares at June 30, 2026; 171,849,325 shares at June 30, 2025</t>
  </si>
  <si>
    <t>Accumulated other comprehensive income (AOCI)</t>
  </si>
  <si>
    <t>Retained earnings</t>
  </si>
  <si>
    <t>Treasury stock, at cost; 16,863,102 shares at June 30, 2026 and 16,294,119 shares at June 30, 2025</t>
  </si>
  <si>
    <t>Total Coherent Corp. Shareholders' Equity</t>
  </si>
  <si>
    <t>Noncontrolling interests (NCI)</t>
  </si>
  <si>
    <t>Total Equity</t>
  </si>
  <si>
    <t>Total Liabilities, Mezzanine Equity and Shareholders' Equity</t>
  </si>
  <si>
    <t>Fonte: Coherent Corp., Form 10-K FY2026 (SEC EDGAR) - https://www.sec.gov/Archives/edgar/data/820318/000082031826000020/iivi-20260630.htm</t>
  </si>
  <si>
    <t>Coherent Corp. and Subsidiaries - Consolidated Statements of Earnings (Loss) ($ in millions, except per share data)</t>
  </si>
  <si>
    <t>Year Ended June 30,</t>
  </si>
  <si>
    <t>Costs, Expenses and Other Expense</t>
  </si>
  <si>
    <t>Cost of goods sold</t>
  </si>
  <si>
    <t>Research and development</t>
  </si>
  <si>
    <t>Selling, general and administrative</t>
  </si>
  <si>
    <t>Restructuring charges</t>
  </si>
  <si>
    <t>Impairment of assets held-for-sale</t>
  </si>
  <si>
    <t>Gain on sale of business</t>
  </si>
  <si>
    <t>Interest expense</t>
  </si>
  <si>
    <t>Other income, net</t>
  </si>
  <si>
    <t>Total Costs, Expenses and Other Expense</t>
  </si>
  <si>
    <t>Earnings (Loss) Before Income Taxes</t>
  </si>
  <si>
    <t>Income Tax Expense</t>
  </si>
  <si>
    <t>Net Earnings (Loss)</t>
  </si>
  <si>
    <t>Net Loss Attributable to Noncontrolling Interests</t>
  </si>
  <si>
    <t>Net Earnings (Loss) Attributable to Coherent Corp.</t>
  </si>
  <si>
    <t>Less: Dividends on Preferred Stock</t>
  </si>
  <si>
    <t>Net Earnings (Loss) Available to the Common Shareholders</t>
  </si>
  <si>
    <t>Basic Earnings (Loss) Per Share</t>
  </si>
  <si>
    <t>Diluted Earnings (Loss) Per Share</t>
  </si>
  <si>
    <t>Coherent Corp. and Subsidiaries - Consolidated Statements of Cash Flows ($ in millions)</t>
  </si>
  <si>
    <t>Cash Flows from Operating Activities</t>
  </si>
  <si>
    <t>Net earnings (loss)</t>
  </si>
  <si>
    <t>Adjustments to reconcile net earnings (loss) to net cash provided by operating activities:</t>
  </si>
  <si>
    <t>Depreciation</t>
  </si>
  <si>
    <t>Amortization</t>
  </si>
  <si>
    <t>Share-based compensation expense</t>
  </si>
  <si>
    <t>Non-cash restructuring and impairment charges</t>
  </si>
  <si>
    <t>Amortization of debt issuance costs</t>
  </si>
  <si>
    <t>Loss on disposals of property, plant &amp; equipment</t>
  </si>
  <si>
    <t>Unrealized losses (gains) on foreign currency remeasurements and transactions</t>
  </si>
  <si>
    <t>Loss (earnings) from equity investments</t>
  </si>
  <si>
    <t>Gain on sale of equity investment</t>
  </si>
  <si>
    <t>Loss on debt extinguishment</t>
  </si>
  <si>
    <t>Increase (decrease) in cash from changes in:</t>
  </si>
  <si>
    <t>Accounts receivable</t>
  </si>
  <si>
    <t>Contract liabilities</t>
  </si>
  <si>
    <t>Income taxes</t>
  </si>
  <si>
    <t>Other operating net assets (liabilities)</t>
  </si>
  <si>
    <t>Net cash provided by operating activities</t>
  </si>
  <si>
    <t>Cash Flows from Investing Activities</t>
  </si>
  <si>
    <t>Additions to property, plant &amp; equipment</t>
  </si>
  <si>
    <t>Purchases of intangible assets</t>
  </si>
  <si>
    <t>Proceeds from sale of equity investment</t>
  </si>
  <si>
    <t>Proceeds from the sale of business, net of fees</t>
  </si>
  <si>
    <t>Purchases of short-term investments</t>
  </si>
  <si>
    <t>Proceeds from sales/maturities of short-term investments</t>
  </si>
  <si>
    <t>Other investing activities</t>
  </si>
  <si>
    <t>Net cash used in investing activities</t>
  </si>
  <si>
    <t>Cash Flows from Financing Activities</t>
  </si>
  <si>
    <t>Sale of shares to noncontrolling interests</t>
  </si>
  <si>
    <t>Proceeds from borrowings of Term A Facility</t>
  </si>
  <si>
    <t>Proceeds from borrowings of Term B Facility</t>
  </si>
  <si>
    <t>Proceeds from borrowings of revolving credit facilities</t>
  </si>
  <si>
    <t>Proceeds from borrowings of other credit facilities</t>
  </si>
  <si>
    <t>Proceeds from issuance of common shares</t>
  </si>
  <si>
    <t>Payments on existing debt</t>
  </si>
  <si>
    <t>Payments on borrowings under revolving credit facilities</t>
  </si>
  <si>
    <t>Debt issuance costs</t>
  </si>
  <si>
    <t>Equity issuance costs</t>
  </si>
  <si>
    <t>Proceeds from exercises of stock options and purchases of stock under employee stock purchase plan</t>
  </si>
  <si>
    <t>Payments in satisfaction of employees’ minimum tax obligations</t>
  </si>
  <si>
    <t>Cash dividends paid</t>
  </si>
  <si>
    <t>Other financing activities</t>
  </si>
  <si>
    <t>Net cash provided by (used in) financing activities</t>
  </si>
  <si>
    <t>Effect of exchange rate changes on cash, cash equivalents, and restricted cash</t>
  </si>
  <si>
    <t>Net increase (decrease) in cash, cash equivalents, and restricted cash</t>
  </si>
  <si>
    <t>Cash, Cash Equivalents, and Restricted Cash at Beginning of Period</t>
  </si>
  <si>
    <t>Cash, Cash Equivalents, and Restricted Cash at End of Period</t>
  </si>
  <si>
    <t>Supplemental Information</t>
  </si>
  <si>
    <t>Cash paid for interest</t>
  </si>
  <si>
    <t>Cash paid for income taxes</t>
  </si>
  <si>
    <t>Non-Cash Investing and Financing Activities:</t>
  </si>
  <si>
    <t>Additions to property, plant &amp; equipment included in accounts payable</t>
  </si>
  <si>
    <t>Conversion of Series A and B preferred stock to common stock</t>
  </si>
  <si>
    <t>Note 20. Segment and Geographic Reporting - Segment results and reconciliation to earnings (loss) before income taxes ($ in millions)</t>
  </si>
  <si>
    <t>Segment revenue</t>
  </si>
  <si>
    <t>Intersegment revenue</t>
  </si>
  <si>
    <t>Elimination of intersegment revenue</t>
  </si>
  <si>
    <t>Total intersegment revenue</t>
  </si>
  <si>
    <t>Segment cost of goods sold and operating expenses (1)</t>
  </si>
  <si>
    <t>Total segment cost of goods sold and operating expenses</t>
  </si>
  <si>
    <t>Segment profit</t>
  </si>
  <si>
    <t>Total segment profit</t>
  </si>
  <si>
    <t>Unallocated Corporate expenses</t>
  </si>
  <si>
    <t>Corporate and centralized function costs (2)</t>
  </si>
  <si>
    <t>Share-based compensation</t>
  </si>
  <si>
    <t>Restructuring costs (3)</t>
  </si>
  <si>
    <t>Integration, site consolidation and other costs (4)</t>
  </si>
  <si>
    <t>Amortization of intangibles</t>
  </si>
  <si>
    <t>Earnings (loss) before income taxes</t>
  </si>
  <si>
    <t>(1) The significant expense category amount aligns with the segment-level information that is regularly provided to the CODM. Segment cost of goods sold and operating expenses primarily include manufacturing costs, labor and research and development costs, and exclude expenses and credits that are included in the Unallocated corporate expenses category.</t>
  </si>
  <si>
    <t>(2) We do not allocate corporate and centralized function costs that are not directly attributable to our operating segments.</t>
  </si>
  <si>
    <t>(3) See Note 12. Restructuring Plans for further information.</t>
  </si>
  <si>
    <t>(4) Integration, site consolidation and other costs are $80 million and $38 million in the years ended June 30, 2026 and June 30, 2025, respectively, and primarily consist of consulting and legal costs related to initiatives to integrate recent acquisitions into common technology systems, to divest businesses and simplify legal entity structure. Integration and site consolidation costs in the year ended June 30, 2024 primarily include consulting costs related to initiatives to integrate recent acquisitions into common technology systems and simplify legal entity structure, and employee severance and retention and other costs related to sites being shut down as part of our 2023 Restructuring Plan or Synergy and Site Consolidation Plan.</t>
  </si>
  <si>
    <t>Note 20. Segment and Geographic Reporting - Depreciation and amortization by segment ($ in millions)</t>
  </si>
  <si>
    <t>Depreciation and amortization</t>
  </si>
  <si>
    <t>Corporate and shared services</t>
  </si>
  <si>
    <t>Total depreciation and amortization</t>
  </si>
  <si>
    <t>EBIT</t>
  </si>
  <si>
    <t>Taxes</t>
  </si>
  <si>
    <t>TAX RATE</t>
  </si>
  <si>
    <t xml:space="preserve">% tax rate </t>
  </si>
  <si>
    <t>D&amp;A</t>
  </si>
  <si>
    <t>Total revenue</t>
  </si>
  <si>
    <t>Total D&amp;A</t>
  </si>
  <si>
    <t>% of D&amp;A</t>
  </si>
  <si>
    <t>CapEx</t>
  </si>
  <si>
    <t>CAPEX</t>
  </si>
  <si>
    <t>ΔNWC</t>
  </si>
  <si>
    <t>WACC</t>
  </si>
  <si>
    <t>Market Cap</t>
  </si>
  <si>
    <t>% of Equity</t>
  </si>
  <si>
    <t>Cost of Equity</t>
  </si>
  <si>
    <t>Risk Free Rate</t>
  </si>
  <si>
    <t>Beta</t>
  </si>
  <si>
    <t>Market Risk Premium</t>
  </si>
  <si>
    <t>Debt</t>
  </si>
  <si>
    <t>% of Debt</t>
  </si>
  <si>
    <t>Cost of Debt</t>
  </si>
  <si>
    <t>Tax Rate</t>
  </si>
  <si>
    <t>BETA</t>
  </si>
  <si>
    <t>Levered Beta</t>
  </si>
  <si>
    <t>Tax rate</t>
  </si>
  <si>
    <t>Unlevered Beta</t>
  </si>
  <si>
    <t>LITE</t>
  </si>
  <si>
    <t>FN</t>
  </si>
  <si>
    <t>CIEN</t>
  </si>
  <si>
    <t>Average unlevered Beta</t>
  </si>
  <si>
    <t>TGR</t>
  </si>
  <si>
    <t>REVENUES</t>
  </si>
  <si>
    <t>FY2028</t>
  </si>
  <si>
    <t>FY2029</t>
  </si>
  <si>
    <t>Q1</t>
  </si>
  <si>
    <t>Q2</t>
  </si>
  <si>
    <t>Q3</t>
  </si>
  <si>
    <t>Q4</t>
  </si>
  <si>
    <t>Annual</t>
  </si>
  <si>
    <t>FY2030</t>
  </si>
  <si>
    <t>FY2031</t>
  </si>
  <si>
    <t>D&amp;C</t>
  </si>
  <si>
    <t>FY 2027</t>
  </si>
  <si>
    <t>Q1%</t>
  </si>
  <si>
    <t>Q2%</t>
  </si>
  <si>
    <t>Q3%</t>
  </si>
  <si>
    <t>Q4%</t>
  </si>
  <si>
    <t>FY2027</t>
  </si>
  <si>
    <t>COGS</t>
  </si>
  <si>
    <t>Gross Profit</t>
  </si>
  <si>
    <t>R&amp;D</t>
  </si>
  <si>
    <t>SG&amp;A</t>
  </si>
  <si>
    <t>Altri costi operativi</t>
  </si>
  <si>
    <t>% of revenues</t>
  </si>
  <si>
    <t>Gross Margin</t>
  </si>
  <si>
    <t>EBIT Margin</t>
  </si>
  <si>
    <t>PP&amp;E</t>
  </si>
  <si>
    <t>DCF</t>
  </si>
  <si>
    <t>NOPAT</t>
  </si>
  <si>
    <t>NWC</t>
  </si>
  <si>
    <t>FCFF</t>
  </si>
  <si>
    <t>Rate</t>
  </si>
  <si>
    <t>Residuo</t>
  </si>
  <si>
    <t>Tempo</t>
  </si>
  <si>
    <t>DSO</t>
  </si>
  <si>
    <t>DIO</t>
  </si>
  <si>
    <t>DPO</t>
  </si>
  <si>
    <t>Prepaid and other CA %of revenues</t>
  </si>
  <si>
    <t>Accrued compensation %of revenues</t>
  </si>
  <si>
    <t>Other accrued liabilities %of revenues</t>
  </si>
  <si>
    <t>CCC</t>
  </si>
  <si>
    <t>Account receivables</t>
  </si>
  <si>
    <t>Prepaid and other CA</t>
  </si>
  <si>
    <t xml:space="preserve">Other accrued liabilities </t>
  </si>
  <si>
    <t xml:space="preserve">Accrued compensation </t>
  </si>
  <si>
    <t>PV of FCFF</t>
  </si>
  <si>
    <t>Terminal value</t>
  </si>
  <si>
    <t>PV of Terminal value</t>
  </si>
  <si>
    <t>Sum of PV FCFF</t>
  </si>
  <si>
    <t>Enterprise value</t>
  </si>
  <si>
    <t>Cash</t>
  </si>
  <si>
    <t>Equity Value</t>
  </si>
  <si>
    <t>Shares outstanding</t>
  </si>
  <si>
    <t>Implied share price</t>
  </si>
  <si>
    <t>ROIC</t>
  </si>
  <si>
    <t>Reinvestment rate</t>
  </si>
  <si>
    <t>Reinvestimento</t>
  </si>
  <si>
    <t>CapEx efficiency</t>
  </si>
  <si>
    <t>Market cap</t>
  </si>
  <si>
    <t>NCI</t>
  </si>
  <si>
    <t>EBITDA</t>
  </si>
  <si>
    <t>COHR</t>
  </si>
  <si>
    <t>EV</t>
  </si>
  <si>
    <t>EBITDA consensus</t>
  </si>
  <si>
    <t>EV/EBITDA consensus</t>
  </si>
  <si>
    <t xml:space="preserve">EV/EBITDA </t>
  </si>
  <si>
    <t>Median</t>
  </si>
  <si>
    <t>Mean</t>
  </si>
  <si>
    <t>DCF cross-check</t>
  </si>
  <si>
    <t xml:space="preserve">Ke terminale </t>
  </si>
  <si>
    <t>WACC terminale</t>
  </si>
  <si>
    <t>Discount factor</t>
  </si>
  <si>
    <t>Comps</t>
  </si>
  <si>
    <t>Peers</t>
  </si>
  <si>
    <t>IPGP</t>
  </si>
  <si>
    <t>MKSI</t>
  </si>
  <si>
    <t>EBITDA 2027</t>
  </si>
  <si>
    <t>EV/EBITDA 2027</t>
  </si>
  <si>
    <t>Mean_D&amp;C</t>
  </si>
  <si>
    <t>Median_D&amp;C</t>
  </si>
  <si>
    <t>Median_Industrial</t>
  </si>
  <si>
    <t>Equity value</t>
  </si>
  <si>
    <t>Target price</t>
  </si>
  <si>
    <t>Target_median</t>
  </si>
  <si>
    <t>Mean_Industrial</t>
  </si>
  <si>
    <t>WACC Terminale</t>
  </si>
  <si>
    <t>Scenarios</t>
  </si>
  <si>
    <t>Base</t>
  </si>
  <si>
    <t>Scenario</t>
  </si>
  <si>
    <t>Switch</t>
  </si>
  <si>
    <t>Override</t>
  </si>
  <si>
    <t>Bear</t>
  </si>
  <si>
    <t>Bull</t>
  </si>
  <si>
    <t>Driver</t>
  </si>
  <si>
    <t>Attivo</t>
  </si>
  <si>
    <t>D&amp;C Δ trim. FY28-29</t>
  </si>
  <si>
    <t>D&amp;C crescita FY2030</t>
  </si>
  <si>
    <t>D&amp;C crescita FY2031</t>
  </si>
  <si>
    <t>Gross margin terminale</t>
  </si>
  <si>
    <t>SG&amp;A terminale (% ricavi)</t>
  </si>
  <si>
    <t>ROIC terminale</t>
  </si>
  <si>
    <t>Account payables</t>
  </si>
  <si>
    <t xml:space="preserve">Beta terminale </t>
  </si>
  <si>
    <t>Spread BB</t>
  </si>
  <si>
    <t>Prezzo di mercato</t>
  </si>
  <si>
    <t>Probabilità base case implicita</t>
  </si>
  <si>
    <t>Probabilità bull case implicita</t>
  </si>
  <si>
    <t xml:space="preserve">Probabilità bear case </t>
  </si>
  <si>
    <t>Sensitivity Table (base case)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</si>
</sst>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0.0;\(#,##0.0\);\-"/>
    <numFmt numFmtId="165" formatCode="#,##0.00;\(#,##0.00\);\-"/>
    <numFmt numFmtId="166" formatCode="0&quot;A&quot;"/>
    <numFmt numFmtId="167" formatCode="0&quot;E&quot;"/>
    <numFmt numFmtId="168" formatCode="#,##0.0"/>
    <numFmt numFmtId="169" formatCode=";;;"/>
  </numFmts>
  <fonts count="27" x14ac:knownFonts="1">
    <font>
      <sz val="11"/>
      <color theme="1"/>
      <name val="Calibri"/>
      <family val="2"/>
      <scheme val="minor"/>
    </font>
    <font>
      <b/>
      <sz val="12"/>
      <name val="Arial"/>
      <family val="2"/>
    </font>
    <font>
      <sz val="10"/>
      <name val="Arial"/>
      <family val="2"/>
    </font>
    <font>
      <b/>
      <sz val="10"/>
      <name val="Arial"/>
      <family val="2"/>
    </font>
    <font>
      <i/>
      <sz val="8"/>
      <color rgb="FF666666"/>
      <name val="Arial"/>
      <family val="2"/>
    </font>
    <font>
      <i/>
      <sz val="8"/>
      <color rgb="FF444444"/>
      <name val="Arial"/>
      <family val="2"/>
    </font>
    <font>
      <sz val="11"/>
      <color theme="0"/>
      <name val="Calibri"/>
      <family val="2"/>
      <scheme val="minor"/>
    </font>
    <font>
      <sz val="10"/>
      <color rgb="FF00B050"/>
      <name val="Arial"/>
      <family val="2"/>
    </font>
    <font>
      <i/>
      <sz val="11"/>
      <color theme="1"/>
      <name val="Calibri"/>
      <family val="2"/>
      <scheme val="minor"/>
    </font>
    <font>
      <b/>
      <i/>
      <sz val="11"/>
      <color theme="1"/>
      <name val="Calibri"/>
      <family val="2"/>
      <scheme val="minor"/>
    </font>
    <font>
      <b/>
      <sz val="11"/>
      <color theme="1"/>
      <name val="Calibri"/>
      <family val="2"/>
      <scheme val="minor"/>
    </font>
    <font>
      <b/>
      <sz val="11"/>
      <color rgb="FFFF0000"/>
      <name val="Calibri"/>
      <family val="2"/>
      <scheme val="minor"/>
    </font>
    <font>
      <b/>
      <i/>
      <sz val="11"/>
      <color rgb="FFFF0000"/>
      <name val="Calibri"/>
      <family val="2"/>
      <scheme val="minor"/>
    </font>
    <font>
      <b/>
      <sz val="10"/>
      <color rgb="FF00B050"/>
      <name val="Arial"/>
      <family val="2"/>
    </font>
    <font>
      <b/>
      <sz val="11"/>
      <color rgb="FF00B050"/>
      <name val="Calibri"/>
      <family val="2"/>
      <scheme val="minor"/>
    </font>
    <font>
      <b/>
      <sz val="10"/>
      <color theme="1"/>
      <name val="Arial"/>
      <family val="2"/>
    </font>
    <font>
      <sz val="11"/>
      <color rgb="FF0070C0"/>
      <name val="Calibri"/>
      <family val="2"/>
      <scheme val="minor"/>
    </font>
    <font>
      <b/>
      <sz val="10"/>
      <color rgb="FF0070C0"/>
      <name val="Arial"/>
      <family val="2"/>
    </font>
    <font>
      <i/>
      <sz val="11"/>
      <color rgb="FF0070C0"/>
      <name val="Calibri"/>
      <family val="2"/>
      <scheme val="minor"/>
    </font>
    <font>
      <sz val="10"/>
      <color theme="1"/>
      <name val="Arial"/>
      <family val="2"/>
    </font>
    <font>
      <b/>
      <sz val="11"/>
      <color rgb="FF0070C0"/>
      <name val="Calibri"/>
      <family val="2"/>
      <scheme val="minor"/>
    </font>
    <font>
      <sz val="11"/>
      <color theme="3" tint="0.39997558519241921"/>
      <name val="Calibri"/>
      <family val="2"/>
      <scheme val="minor"/>
    </font>
    <font>
      <b/>
      <sz val="11"/>
      <color theme="3" tint="0.39997558519241921"/>
      <name val="Calibri"/>
      <family val="2"/>
      <scheme val="minor"/>
    </font>
    <font>
      <sz val="11"/>
      <color rgb="FF00B050"/>
      <name val="Calibri"/>
      <family val="2"/>
      <scheme val="minor"/>
    </font>
    <font>
      <i/>
      <sz val="11"/>
      <color rgb="FF000000"/>
      <name val="Calibri"/>
      <family val="2"/>
      <scheme val="minor"/>
    </font>
    <font>
      <sz val="10"/>
      <color rgb="FF0070C0"/>
      <name val="Arial"/>
      <family val="2"/>
    </font>
    <font>
      <b/>
      <sz val="11"/>
      <color theme="0"/>
      <name val="Calibri"/>
      <family val="2"/>
      <scheme val="minor"/>
    </font>
  </fonts>
  <fills count="6">
    <fill>
      <patternFill patternType="none"/>
    </fill>
    <fill>
      <patternFill patternType="gray125"/>
    </fill>
    <fill>
      <patternFill patternType="solid">
        <fgColor rgb="FFDDE6F0"/>
      </patternFill>
    </fill>
    <fill>
      <patternFill patternType="solid">
        <fgColor theme="3" tint="0.39994506668294322"/>
        <bgColor indexed="64"/>
      </patternFill>
    </fill>
    <fill>
      <patternFill patternType="solid">
        <fgColor theme="0"/>
        <bgColor indexed="64"/>
      </patternFill>
    </fill>
    <fill>
      <patternFill patternType="solid">
        <fgColor theme="3" tint="-0.24994659260841701"/>
        <bgColor indexed="64"/>
      </patternFill>
    </fill>
  </fills>
  <borders count="21">
    <border>
      <left/>
      <right/>
      <top/>
      <bottom/>
      <diagonal/>
    </border>
    <border>
      <left/>
      <right/>
      <top/>
      <bottom style="thin">
        <color rgb="FF999999"/>
      </bottom>
      <diagonal/>
    </border>
    <border>
      <left style="thin">
        <color auto="1"/>
      </left>
      <right/>
      <top style="thin">
        <color auto="1"/>
      </top>
      <bottom/>
      <diagonal/>
    </border>
    <border>
      <left/>
      <right/>
      <top style="thin">
        <color auto="1"/>
      </top>
      <bottom/>
      <diagonal/>
    </border>
    <border>
      <left/>
      <right style="thin">
        <color auto="1"/>
      </right>
      <top style="thin">
        <color auto="1"/>
      </top>
      <bottom/>
      <diagonal/>
    </border>
    <border>
      <left style="thin">
        <color auto="1"/>
      </left>
      <right/>
      <top/>
      <bottom style="thin">
        <color auto="1"/>
      </bottom>
      <diagonal/>
    </border>
    <border>
      <left/>
      <right/>
      <top/>
      <bottom style="thin">
        <color auto="1"/>
      </bottom>
      <diagonal/>
    </border>
    <border>
      <left/>
      <right style="thin">
        <color auto="1"/>
      </right>
      <top/>
      <bottom style="thin">
        <color auto="1"/>
      </bottom>
      <diagonal/>
    </border>
    <border>
      <left style="thin">
        <color auto="1"/>
      </left>
      <right/>
      <top/>
      <bottom/>
      <diagonal/>
    </border>
    <border>
      <left/>
      <right style="thin">
        <color auto="1"/>
      </right>
      <top/>
      <bottom/>
      <diagonal/>
    </border>
    <border>
      <left/>
      <right style="hair">
        <color auto="1"/>
      </right>
      <top/>
      <bottom style="thin">
        <color auto="1"/>
      </bottom>
      <diagonal/>
    </border>
    <border>
      <left/>
      <right style="hair">
        <color auto="1"/>
      </right>
      <top/>
      <bottom/>
      <diagonal/>
    </border>
    <border>
      <left/>
      <right style="hair">
        <color auto="1"/>
      </right>
      <top style="thin">
        <color auto="1"/>
      </top>
      <bottom/>
      <diagonal/>
    </border>
    <border>
      <left style="hair">
        <color auto="1"/>
      </left>
      <right/>
      <top/>
      <bottom style="thin">
        <color auto="1"/>
      </bottom>
      <diagonal/>
    </border>
    <border>
      <left style="hair">
        <color auto="1"/>
      </left>
      <right/>
      <top/>
      <bottom/>
      <diagonal/>
    </border>
    <border>
      <left style="hair">
        <color auto="1"/>
      </left>
      <right/>
      <top style="thin">
        <color auto="1"/>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right style="hair">
        <color auto="1"/>
      </right>
      <top style="thin">
        <color auto="1"/>
      </top>
      <bottom style="thin">
        <color auto="1"/>
      </bottom>
      <diagonal/>
    </border>
    <border>
      <left style="thin">
        <color auto="1"/>
      </left>
      <right style="thin">
        <color auto="1"/>
      </right>
      <top style="thin">
        <color auto="1"/>
      </top>
      <bottom style="thin">
        <color auto="1"/>
      </bottom>
      <diagonal/>
    </border>
  </borders>
  <cellStyleXfs count="1">
    <xf numFmtId="0" fontId="0" fillId="0" borderId="0"/>
  </cellStyleXfs>
  <cellXfs count="123">
    <xf numFmtId="0" fontId="0" fillId="0" borderId="0" xfId="0"/>
    <xf numFmtId="0" fontId="1" fillId="0" borderId="0" xfId="0" applyFont="1"/>
    <xf numFmtId="0" fontId="3" fillId="2" borderId="1" xfId="0" applyFont="1" applyFill="1" applyBorder="1" applyAlignment="1">
      <alignment horizontal="left" vertical="top"/>
    </xf>
    <xf numFmtId="1" fontId="3" fillId="2" borderId="1" xfId="0" applyNumberFormat="1" applyFont="1" applyFill="1" applyBorder="1" applyAlignment="1">
      <alignment horizontal="right"/>
    </xf>
    <xf numFmtId="0" fontId="2" fillId="0" borderId="0" xfId="0" applyFont="1" applyAlignment="1">
      <alignment horizontal="left" vertical="top"/>
    </xf>
    <xf numFmtId="164" fontId="2" fillId="0" borderId="0" xfId="0" applyNumberFormat="1" applyFont="1" applyAlignment="1">
      <alignment horizontal="right"/>
    </xf>
    <xf numFmtId="0" fontId="3" fillId="0" borderId="0" xfId="0" applyFont="1" applyAlignment="1">
      <alignment horizontal="left" vertical="top"/>
    </xf>
    <xf numFmtId="164" fontId="3" fillId="0" borderId="0" xfId="0" applyNumberFormat="1" applyFont="1" applyAlignment="1">
      <alignment horizontal="right"/>
    </xf>
    <xf numFmtId="0" fontId="4" fillId="0" borderId="0" xfId="0" applyFont="1"/>
    <xf numFmtId="165" fontId="2" fillId="0" borderId="0" xfId="0" applyNumberFormat="1" applyFont="1" applyAlignment="1">
      <alignment horizontal="right"/>
    </xf>
    <xf numFmtId="0" fontId="3" fillId="2" borderId="1" xfId="0" applyFont="1" applyFill="1" applyBorder="1" applyAlignment="1">
      <alignment horizontal="right"/>
    </xf>
    <xf numFmtId="0" fontId="5" fillId="0" borderId="0" xfId="0" applyFont="1"/>
    <xf numFmtId="0" fontId="6" fillId="3" borderId="0" xfId="0" applyFont="1" applyFill="1"/>
    <xf numFmtId="166" fontId="6" fillId="3" borderId="0" xfId="0" applyNumberFormat="1" applyFont="1" applyFill="1"/>
    <xf numFmtId="167" fontId="6" fillId="3" borderId="0" xfId="0" applyNumberFormat="1" applyFont="1" applyFill="1"/>
    <xf numFmtId="164" fontId="7" fillId="0" borderId="0" xfId="0" applyNumberFormat="1" applyFont="1" applyAlignment="1">
      <alignment horizontal="right"/>
    </xf>
    <xf numFmtId="0" fontId="8" fillId="0" borderId="0" xfId="0" applyFont="1"/>
    <xf numFmtId="0" fontId="2" fillId="0" borderId="0" xfId="0" applyFont="1" applyAlignment="1">
      <alignment horizontal="right"/>
    </xf>
    <xf numFmtId="164" fontId="2" fillId="0" borderId="0" xfId="0" applyNumberFormat="1" applyFont="1" applyAlignment="1">
      <alignment horizontal="left" vertical="top"/>
    </xf>
    <xf numFmtId="0" fontId="2" fillId="0" borderId="0" xfId="0" applyFont="1" applyAlignment="1">
      <alignment horizontal="right" vertical="top"/>
    </xf>
    <xf numFmtId="10" fontId="8" fillId="0" borderId="0" xfId="0" applyNumberFormat="1" applyFont="1"/>
    <xf numFmtId="0" fontId="3" fillId="0" borderId="2" xfId="0" applyFont="1" applyBorder="1" applyAlignment="1">
      <alignment horizontal="left" vertical="top"/>
    </xf>
    <xf numFmtId="0" fontId="10" fillId="0" borderId="3" xfId="0" applyFont="1" applyBorder="1"/>
    <xf numFmtId="164" fontId="3" fillId="0" borderId="3" xfId="0" applyNumberFormat="1" applyFont="1" applyBorder="1" applyAlignment="1">
      <alignment horizontal="right"/>
    </xf>
    <xf numFmtId="10" fontId="9" fillId="0" borderId="5" xfId="0" applyNumberFormat="1" applyFont="1" applyBorder="1"/>
    <xf numFmtId="10" fontId="10" fillId="0" borderId="6" xfId="0" applyNumberFormat="1" applyFont="1" applyBorder="1"/>
    <xf numFmtId="10" fontId="9" fillId="0" borderId="6" xfId="0" applyNumberFormat="1" applyFont="1" applyBorder="1"/>
    <xf numFmtId="10" fontId="11" fillId="0" borderId="6" xfId="0" applyNumberFormat="1" applyFont="1" applyBorder="1"/>
    <xf numFmtId="10" fontId="9" fillId="0" borderId="8" xfId="0" applyNumberFormat="1" applyFont="1" applyBorder="1"/>
    <xf numFmtId="10" fontId="10" fillId="0" borderId="0" xfId="0" applyNumberFormat="1" applyFont="1"/>
    <xf numFmtId="10" fontId="9" fillId="0" borderId="0" xfId="0" applyNumberFormat="1" applyFont="1"/>
    <xf numFmtId="10" fontId="9" fillId="0" borderId="9" xfId="0" applyNumberFormat="1" applyFont="1" applyBorder="1"/>
    <xf numFmtId="10" fontId="12" fillId="0" borderId="0" xfId="0" applyNumberFormat="1" applyFont="1"/>
    <xf numFmtId="164" fontId="13" fillId="0" borderId="3" xfId="0" applyNumberFormat="1" applyFont="1" applyBorder="1" applyAlignment="1">
      <alignment horizontal="right"/>
    </xf>
    <xf numFmtId="168" fontId="13" fillId="0" borderId="3" xfId="0" applyNumberFormat="1" applyFont="1" applyBorder="1" applyAlignment="1">
      <alignment horizontal="right"/>
    </xf>
    <xf numFmtId="2" fontId="13" fillId="0" borderId="3" xfId="0" applyNumberFormat="1" applyFont="1" applyBorder="1" applyAlignment="1">
      <alignment horizontal="right"/>
    </xf>
    <xf numFmtId="2" fontId="15" fillId="0" borderId="3" xfId="0" applyNumberFormat="1" applyFont="1" applyBorder="1" applyAlignment="1">
      <alignment horizontal="right"/>
    </xf>
    <xf numFmtId="0" fontId="0" fillId="3" borderId="0" xfId="0" applyFill="1"/>
    <xf numFmtId="0" fontId="0" fillId="4" borderId="0" xfId="0" applyFill="1"/>
    <xf numFmtId="4" fontId="0" fillId="0" borderId="0" xfId="0" applyNumberFormat="1"/>
    <xf numFmtId="10" fontId="0" fillId="0" borderId="0" xfId="0" applyNumberFormat="1"/>
    <xf numFmtId="4" fontId="16" fillId="0" borderId="0" xfId="0" applyNumberFormat="1" applyFont="1"/>
    <xf numFmtId="0" fontId="10" fillId="0" borderId="0" xfId="0" applyFont="1"/>
    <xf numFmtId="10" fontId="16" fillId="0" borderId="0" xfId="0" applyNumberFormat="1" applyFont="1"/>
    <xf numFmtId="4" fontId="10" fillId="0" borderId="0" xfId="0" applyNumberFormat="1" applyFont="1"/>
    <xf numFmtId="0" fontId="10" fillId="0" borderId="2" xfId="0" applyFont="1" applyBorder="1"/>
    <xf numFmtId="0" fontId="10" fillId="0" borderId="5" xfId="0" applyFont="1" applyBorder="1"/>
    <xf numFmtId="166" fontId="6" fillId="3" borderId="11" xfId="0" applyNumberFormat="1" applyFont="1" applyFill="1" applyBorder="1"/>
    <xf numFmtId="0" fontId="0" fillId="0" borderId="11" xfId="0" applyBorder="1"/>
    <xf numFmtId="164" fontId="7" fillId="0" borderId="11" xfId="0" applyNumberFormat="1" applyFont="1" applyBorder="1" applyAlignment="1">
      <alignment horizontal="right"/>
    </xf>
    <xf numFmtId="10" fontId="8" fillId="0" borderId="11" xfId="0" applyNumberFormat="1" applyFont="1" applyBorder="1"/>
    <xf numFmtId="164" fontId="3" fillId="0" borderId="12" xfId="0" applyNumberFormat="1" applyFont="1" applyBorder="1" applyAlignment="1">
      <alignment horizontal="right"/>
    </xf>
    <xf numFmtId="10" fontId="9" fillId="0" borderId="10" xfId="0" applyNumberFormat="1" applyFont="1" applyBorder="1"/>
    <xf numFmtId="10" fontId="9" fillId="0" borderId="11" xfId="0" applyNumberFormat="1" applyFont="1" applyBorder="1"/>
    <xf numFmtId="10" fontId="10" fillId="0" borderId="10" xfId="0" applyNumberFormat="1" applyFont="1" applyBorder="1"/>
    <xf numFmtId="164" fontId="17" fillId="0" borderId="3" xfId="0" applyNumberFormat="1" applyFont="1" applyBorder="1" applyAlignment="1">
      <alignment horizontal="right"/>
    </xf>
    <xf numFmtId="164" fontId="19" fillId="0" borderId="0" xfId="0" applyNumberFormat="1" applyFont="1" applyAlignment="1">
      <alignment horizontal="right"/>
    </xf>
    <xf numFmtId="10" fontId="9" fillId="0" borderId="13" xfId="0" applyNumberFormat="1" applyFont="1" applyBorder="1"/>
    <xf numFmtId="10" fontId="18" fillId="0" borderId="0" xfId="0" applyNumberFormat="1" applyFont="1"/>
    <xf numFmtId="10" fontId="8" fillId="0" borderId="14" xfId="0" applyNumberFormat="1" applyFont="1" applyBorder="1"/>
    <xf numFmtId="164" fontId="3" fillId="0" borderId="4" xfId="0" applyNumberFormat="1" applyFont="1" applyBorder="1" applyAlignment="1">
      <alignment horizontal="right"/>
    </xf>
    <xf numFmtId="10" fontId="9" fillId="0" borderId="7" xfId="0" applyNumberFormat="1" applyFont="1" applyBorder="1"/>
    <xf numFmtId="4" fontId="21" fillId="0" borderId="0" xfId="0" applyNumberFormat="1" applyFont="1"/>
    <xf numFmtId="10" fontId="22" fillId="0" borderId="0" xfId="0" applyNumberFormat="1" applyFont="1"/>
    <xf numFmtId="4" fontId="23" fillId="0" borderId="0" xfId="0" applyNumberFormat="1" applyFont="1"/>
    <xf numFmtId="10" fontId="24" fillId="0" borderId="0" xfId="0" applyNumberFormat="1" applyFont="1"/>
    <xf numFmtId="4" fontId="10" fillId="0" borderId="3" xfId="0" applyNumberFormat="1" applyFont="1" applyBorder="1"/>
    <xf numFmtId="4" fontId="10" fillId="0" borderId="4" xfId="0" applyNumberFormat="1" applyFont="1" applyBorder="1"/>
    <xf numFmtId="10" fontId="9" fillId="0" borderId="14" xfId="0" applyNumberFormat="1" applyFont="1" applyBorder="1"/>
    <xf numFmtId="4" fontId="14" fillId="0" borderId="0" xfId="0" applyNumberFormat="1" applyFont="1"/>
    <xf numFmtId="10" fontId="20" fillId="0" borderId="6" xfId="0" applyNumberFormat="1" applyFont="1" applyBorder="1"/>
    <xf numFmtId="4" fontId="10" fillId="0" borderId="15" xfId="0" applyNumberFormat="1" applyFont="1" applyBorder="1"/>
    <xf numFmtId="10" fontId="20" fillId="0" borderId="7" xfId="0" applyNumberFormat="1" applyFont="1" applyBorder="1"/>
    <xf numFmtId="0" fontId="0" fillId="5" borderId="0" xfId="0" applyFill="1"/>
    <xf numFmtId="0" fontId="6" fillId="5" borderId="0" xfId="0" applyFont="1" applyFill="1"/>
    <xf numFmtId="0" fontId="10" fillId="0" borderId="16" xfId="0" applyFont="1" applyBorder="1"/>
    <xf numFmtId="0" fontId="0" fillId="0" borderId="17" xfId="0" applyBorder="1"/>
    <xf numFmtId="4" fontId="10" fillId="0" borderId="17" xfId="0" applyNumberFormat="1" applyFont="1" applyBorder="1"/>
    <xf numFmtId="4" fontId="10" fillId="0" borderId="18" xfId="0" applyNumberFormat="1" applyFont="1" applyBorder="1"/>
    <xf numFmtId="4" fontId="25" fillId="0" borderId="0" xfId="0" applyNumberFormat="1" applyFont="1"/>
    <xf numFmtId="2" fontId="0" fillId="0" borderId="0" xfId="0" applyNumberFormat="1"/>
    <xf numFmtId="4" fontId="14" fillId="0" borderId="3" xfId="0" applyNumberFormat="1" applyFont="1" applyBorder="1"/>
    <xf numFmtId="4" fontId="0" fillId="0" borderId="11" xfId="0" applyNumberFormat="1" applyBorder="1"/>
    <xf numFmtId="0" fontId="0" fillId="0" borderId="10" xfId="0" applyBorder="1"/>
    <xf numFmtId="2" fontId="15" fillId="0" borderId="15" xfId="0" applyNumberFormat="1" applyFont="1" applyBorder="1" applyAlignment="1">
      <alignment horizontal="right"/>
    </xf>
    <xf numFmtId="10" fontId="10" fillId="0" borderId="13" xfId="0" applyNumberFormat="1" applyFont="1" applyBorder="1"/>
    <xf numFmtId="2" fontId="15" fillId="0" borderId="12" xfId="0" applyNumberFormat="1" applyFont="1" applyBorder="1" applyAlignment="1">
      <alignment horizontal="right"/>
    </xf>
    <xf numFmtId="4" fontId="13" fillId="0" borderId="3" xfId="0" applyNumberFormat="1" applyFont="1" applyBorder="1" applyAlignment="1">
      <alignment horizontal="right"/>
    </xf>
    <xf numFmtId="4" fontId="13" fillId="0" borderId="12" xfId="0" applyNumberFormat="1" applyFont="1" applyBorder="1" applyAlignment="1">
      <alignment horizontal="right"/>
    </xf>
    <xf numFmtId="4" fontId="2" fillId="0" borderId="0" xfId="0" applyNumberFormat="1" applyFont="1" applyAlignment="1">
      <alignment horizontal="right" vertical="top"/>
    </xf>
    <xf numFmtId="2" fontId="10" fillId="0" borderId="17" xfId="0" applyNumberFormat="1" applyFont="1" applyBorder="1"/>
    <xf numFmtId="10" fontId="0" fillId="0" borderId="11" xfId="0" applyNumberFormat="1" applyBorder="1"/>
    <xf numFmtId="4" fontId="10" fillId="0" borderId="19" xfId="0" applyNumberFormat="1" applyFont="1" applyBorder="1"/>
    <xf numFmtId="2" fontId="0" fillId="0" borderId="11" xfId="0" applyNumberFormat="1" applyBorder="1"/>
    <xf numFmtId="0" fontId="10" fillId="0" borderId="6" xfId="0" applyFont="1" applyBorder="1"/>
    <xf numFmtId="4" fontId="10" fillId="0" borderId="12" xfId="0" applyNumberFormat="1" applyFont="1" applyBorder="1"/>
    <xf numFmtId="0" fontId="10" fillId="0" borderId="10" xfId="0" applyFont="1" applyBorder="1"/>
    <xf numFmtId="4" fontId="10" fillId="0" borderId="6" xfId="0" applyNumberFormat="1" applyFont="1" applyBorder="1"/>
    <xf numFmtId="4" fontId="10" fillId="0" borderId="7" xfId="0" applyNumberFormat="1" applyFont="1" applyBorder="1"/>
    <xf numFmtId="10" fontId="10" fillId="0" borderId="4" xfId="0" applyNumberFormat="1" applyFont="1" applyBorder="1"/>
    <xf numFmtId="166" fontId="6" fillId="0" borderId="0" xfId="0" applyNumberFormat="1" applyFont="1"/>
    <xf numFmtId="167" fontId="6" fillId="0" borderId="0" xfId="0" applyNumberFormat="1" applyFont="1"/>
    <xf numFmtId="0" fontId="20" fillId="0" borderId="0" xfId="0" applyFont="1"/>
    <xf numFmtId="0" fontId="10" fillId="0" borderId="8" xfId="0" applyFont="1" applyBorder="1"/>
    <xf numFmtId="0" fontId="0" fillId="0" borderId="6" xfId="0" applyBorder="1"/>
    <xf numFmtId="0" fontId="23" fillId="0" borderId="0" xfId="0" applyFont="1"/>
    <xf numFmtId="0" fontId="6" fillId="0" borderId="0" xfId="0" applyFont="1"/>
    <xf numFmtId="10" fontId="10" fillId="0" borderId="7" xfId="0" applyNumberFormat="1" applyFont="1" applyBorder="1"/>
    <xf numFmtId="169" fontId="0" fillId="0" borderId="0" xfId="0" applyNumberFormat="1"/>
    <xf numFmtId="0" fontId="26" fillId="3" borderId="0" xfId="0" applyFont="1" applyFill="1"/>
    <xf numFmtId="4" fontId="0" fillId="0" borderId="2" xfId="0" applyNumberFormat="1" applyBorder="1"/>
    <xf numFmtId="4" fontId="0" fillId="0" borderId="3" xfId="0" applyNumberFormat="1" applyBorder="1"/>
    <xf numFmtId="4" fontId="0" fillId="0" borderId="4" xfId="0" applyNumberFormat="1" applyBorder="1"/>
    <xf numFmtId="4" fontId="0" fillId="0" borderId="8" xfId="0" applyNumberFormat="1" applyBorder="1"/>
    <xf numFmtId="4" fontId="0" fillId="0" borderId="9" xfId="0" applyNumberFormat="1" applyBorder="1"/>
    <xf numFmtId="4" fontId="0" fillId="0" borderId="5" xfId="0" applyNumberFormat="1" applyBorder="1"/>
    <xf numFmtId="4" fontId="0" fillId="0" borderId="6" xfId="0" applyNumberFormat="1" applyBorder="1"/>
    <xf numFmtId="4" fontId="0" fillId="0" borderId="7" xfId="0" applyNumberFormat="1" applyBorder="1"/>
    <xf numFmtId="10" fontId="10" fillId="0" borderId="9" xfId="0" applyNumberFormat="1" applyFont="1" applyBorder="1"/>
    <xf numFmtId="0" fontId="0" fillId="0" borderId="0" xfId="0" applyAlignment="1">
      <alignment horizontal="center"/>
    </xf>
    <xf numFmtId="4" fontId="0" fillId="0" borderId="0" xfId="0" applyNumberFormat="1" applyAlignment="1">
      <alignment horizontal="center"/>
    </xf>
    <xf numFmtId="10" fontId="0" fillId="0" borderId="0" xfId="0" applyNumberFormat="1" applyAlignment="1">
      <alignment horizontal="center"/>
    </xf>
    <xf numFmtId="4" fontId="10" fillId="0" borderId="20" xfId="0" applyNumberFormat="1" applyFont="1" applyBorder="1"/>
  </cellXfs>
  <cellStyles count="1">
    <cellStyle name="Normale"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microsoft.com/office/2017/10/relationships/person" Target="persons/person.xml"/><Relationship Id="rId2" Type="http://schemas.openxmlformats.org/officeDocument/2006/relationships/worksheet" Target="worksheets/sheet2.xml"/><Relationship Id="rId16"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persons/person.xml><?xml version="1.0" encoding="utf-8"?>
<personList xmlns="http://schemas.microsoft.com/office/spreadsheetml/2018/threadedcomments" xmlns:x="http://schemas.openxmlformats.org/spreadsheetml/2006/main">
  <person displayName="Davide Morabito" id="{F89EDB22-7672-F645-92D6-BD25E4A6FC47}" userId="S::davide.morabito751@edu.unito.it::0a37ccb9-55ba-4598-93e2-7e919060dda9"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K10" dT="2026-08-22T07:50:09.01" personId="{F89EDB22-7672-F645-92D6-BD25E4A6FC47}" id="{061F00AD-825A-3943-8620-A5E81B6EF101}">
    <text>Fade</text>
  </threadedComment>
  <threadedComment ref="E14" dT="2026-09-05T10:31:27.15" personId="{F89EDB22-7672-F645-92D6-BD25E4A6FC47}" id="{19ECFC57-0BA4-0743-ADE5-F320FD88E58E}">
    <text>Driver: cessione di attività (Aerospace &amp; Defense), non domanda bassa</text>
  </threadedComment>
  <threadedComment ref="K14" dT="2026-08-22T09:12:24.32" personId="{F89EDB22-7672-F645-92D6-BD25E4A6FC47}" id="{19CBAA45-5F7A-244C-B6AC-4B9E4BFE2D63}">
    <text xml:space="preserve">Fade
</text>
  </threadedComment>
  <threadedComment ref="F17" dT="2026-08-21T09:03:27.35" personId="{F89EDB22-7672-F645-92D6-BD25E4A6FC47}" id="{7790E908-AB46-064C-BB51-34C880A2A6D1}">
    <text>Guidance: 
Q1 2027 revenues= 2,2-2,4 
Q4 2027 revenues= &gt;3,0
==&gt;revenues 2027E = 2,3+2,5+2,75+3,0= 10,55</text>
  </threadedComment>
  <threadedComment ref="A20" dT="2026-08-20T07:08:48.03" personId="{F89EDB22-7672-F645-92D6-BD25E4A6FC47}" id="{80F76700-C6DE-334D-93EF-DCA2E573B3B3}">
    <text>Divisione per segmenti non disponibile in 10K</text>
  </threadedComment>
  <threadedComment ref="A26" dT="2026-08-20T07:16:08.75" personId="{F89EDB22-7672-F645-92D6-BD25E4A6FC47}" id="{501646E3-3B23-B445-84C9-5FE5F9516F31}">
    <text>Divisione per segmenti non disponibile in 10K</text>
  </threadedComment>
  <threadedComment ref="F29" dT="2026-08-23T13:55:43.18" personId="{F89EDB22-7672-F645-92D6-BD25E4A6FC47}" id="{D33DB4D6-E33E-DA4D-9F35-5DCAF725DEF4}">
    <text xml:space="preserve">US statutory tax rate. ETR storico non utilizzabile </text>
  </threadedComment>
</ThreadedComments>
</file>

<file path=xl/threadedComments/threadedComment2.xml><?xml version="1.0" encoding="utf-8"?>
<ThreadedComments xmlns="http://schemas.microsoft.com/office/spreadsheetml/2018/threadedcomments" xmlns:x="http://schemas.openxmlformats.org/spreadsheetml/2006/main">
  <threadedComment ref="D4" dT="2026-09-05T10:07:36.21" personId="{F89EDB22-7672-F645-92D6-BD25E4A6FC47}" id="{0257D175-85AB-2B4D-98C1-8A595156F619}">
    <text>Da FactSet</text>
  </threadedComment>
  <threadedComment ref="D7" dT="2026-08-21T07:00:09.29" personId="{F89EDB22-7672-F645-92D6-BD25E4A6FC47}" id="{160DB544-DCB5-3F41-8C1E-02B10B086C69}">
    <text>10Y USA</text>
  </threadedComment>
  <threadedComment ref="D9" dT="2026-08-21T07:00:15.80" personId="{F89EDB22-7672-F645-92D6-BD25E4A6FC47}" id="{06DB6832-7CCE-0941-9D00-7850888544DF}">
    <text xml:space="preserve">Damodaran
</text>
  </threadedComment>
  <threadedComment ref="D14" dT="2026-09-05T10:23:18.27" personId="{F89EDB22-7672-F645-92D6-BD25E4A6FC47}" id="{C5989255-66E7-1E4F-9C1F-202F11C68BA5}">
    <text>Damodaran</text>
  </threadedComment>
  <threadedComment ref="D15" dT="2026-08-21T07:23:48.59" personId="{F89EDB22-7672-F645-92D6-BD25E4A6FC47}" id="{59A489CA-2CBF-3C4F-9966-110EDB50D2EA}">
    <text>US statutory</text>
  </threadedComment>
  <threadedComment ref="H24" dT="2026-09-05T10:09:18.48" personId="{F89EDB22-7672-F645-92D6-BD25E4A6FC47}" id="{476AB9F9-5F2E-2049-9FA2-A5A1BD216D93}">
    <text>Dati da FactSet</text>
  </threadedComment>
  <threadedComment ref="C34" dT="2026-08-31T16:08:37.36" personId="{F89EDB22-7672-F645-92D6-BD25E4A6FC47}" id="{75CF7005-C6A9-7144-B98A-0139FAF85E95}">
    <text>Stima bottom-up sul mix di ricavi atteso al FY2036 usando i beta unlevered del campione settoriale USA di Damodaran, gennaio 2026, re-levered sulla struttura patrimoniale attuale</text>
  </threadedComment>
</ThreadedComments>
</file>

<file path=xl/threadedComments/threadedComment3.xml><?xml version="1.0" encoding="utf-8"?>
<ThreadedComments xmlns="http://schemas.microsoft.com/office/spreadsheetml/2018/threadedcomments" xmlns:x="http://schemas.openxmlformats.org/spreadsheetml/2006/main">
  <threadedComment ref="C7" dT="2026-09-02T07:54:16.40" personId="{F89EDB22-7672-F645-92D6-BD25E4A6FC47}" id="{88E4CDCB-0C2D-5D4F-ABF1-DF3432D89B63}">
    <text>Fade trimestrale</text>
  </threadedComment>
  <threadedComment ref="K7" dT="2026-08-22T08:16:36.45" personId="{F89EDB22-7672-F645-92D6-BD25E4A6FC47}" id="{9FF27733-8D21-D343-B6E3-D9AE3A8247B5}">
    <text>Finestra di rischio ciclico, decelerazione</text>
  </threadedComment>
  <threadedComment ref="C8" dT="2026-09-02T07:54:35.56" personId="{F89EDB22-7672-F645-92D6-BD25E4A6FC47}" id="{8E0A18C6-AB34-494D-9E10-F11FF18F3106}">
    <text>Fade trimestrale</text>
  </threadedComment>
  <threadedComment ref="K8" dT="2026-08-22T08:17:50.63" personId="{F89EDB22-7672-F645-92D6-BD25E4A6FC47}" id="{BCCF94A8-42EB-3241-9FE4-5393F7572995}">
    <text>Finestra di rischio ciclico</text>
  </threadedComment>
  <threadedComment ref="K9" dT="2026-09-01T14:19:28.95" personId="{F89EDB22-7672-F645-92D6-BD25E4A6FC47}" id="{EAB6F989-82EC-B749-AE17-214C19E06388}">
    <text>Base case scenario da LightCounting</text>
  </threadedComment>
  <threadedComment ref="K15" dT="2026-08-22T09:08:31.53" personId="{F89EDB22-7672-F645-92D6-BD25E4A6FC47}" id="{E601283B-7B60-1C45-AC9C-83636733CFCF}">
    <text xml:space="preserve">Ripresa
</text>
  </threadedComment>
  <threadedComment ref="K16" dT="2026-08-22T09:08:39.90" personId="{F89EDB22-7672-F645-92D6-BD25E4A6FC47}" id="{815E4253-8BE3-184F-B075-854EB69DECCC}">
    <text>Ripresa</text>
  </threadedComment>
  <threadedComment ref="K17" dT="2026-09-01T14:16:46.27" personId="{F89EDB22-7672-F645-92D6-BD25E4A6FC47}" id="{ABC1C3FC-2092-B340-B21A-FE1BBC1E728C}">
    <text xml:space="preserve">Convergenza graduale al PIL nominale </text>
  </threadedComment>
  <threadedComment ref="K18" dT="2026-09-01T14:17:01.17" personId="{F89EDB22-7672-F645-92D6-BD25E4A6FC47}" id="{80DD7A4A-B31B-AE4B-AE61-EAB0DF973506}">
    <text>Convergenza al PIL nominale</text>
  </threadedComment>
  <threadedComment ref="F28" dT="2026-08-29T08:45:21.99" personId="{F89EDB22-7672-F645-92D6-BD25E4A6FC47}" id="{5C9E0848-AEF3-1C4C-B109-98FBACA05317}">
    <text>Guidance FY2027: non-GAAP Gross margin between 39,5 and 41,5 --&gt; punto medio: 40,5.
In FY2026 gap between non GAAP and GAAP Gross margin: 39,4-37,5= 1,9
--&gt; Gross margin FY2027 GAAP: 40,5-1,9= 38,6</text>
  </threadedComment>
  <threadedComment ref="P28" dT="2026-09-01T14:21:23.39" personId="{F89EDB22-7672-F645-92D6-BD25E4A6FC47}" id="{9DCBE966-9E71-CC4D-BB07-2DD85509A7E0}">
    <text>Espansione. Drivers:mix D&amp;C; InP 6" (4x output a metà costo/wafer,  da CFO)</text>
  </threadedComment>
  <threadedComment ref="F31" dT="2026-09-01T14:21:49.95" personId="{F89EDB22-7672-F645-92D6-BD25E4A6FC47}" id="{0A6435F5-C62D-FF4A-80DA-EAE4492BCF11}">
    <text>Media storica</text>
  </threadedComment>
  <threadedComment ref="L31" dT="2026-09-04T12:41:08.79" personId="{F89EDB22-7672-F645-92D6-BD25E4A6FC47}" id="{334BAEA3-E628-D04E-A47B-C1E749D6DC96}">
    <text xml:space="preserve">Storico piatto al 10%, ricavi in aumento
--&gt; assumo poca diluizione: -1% fino al FY 2033 e poi flat </text>
  </threadedComment>
  <threadedComment ref="F34" dT="2026-09-04T12:05:04.03" personId="{F89EDB22-7672-F645-92D6-BD25E4A6FC47}" id="{0C2FF988-1349-7248-9ABC-91D9574F51EE}">
    <text>Storico già in discesa</text>
  </threadedComment>
  <threadedComment ref="E36" dT="2026-08-23T08:48:28.04" personId="{F89EDB22-7672-F645-92D6-BD25E4A6FC47}" id="{A7B7772F-1C86-7648-8A16-ACF13C27EA77}">
    <text>Anomalia data da "gain on sale of business"
Senza: restructuring (63,4) + impairment (64,4) = 127,8</text>
  </threadedComment>
  <threadedComment ref="F36" dT="2026-09-05T09:25:47.94" personId="{F89EDB22-7672-F645-92D6-BD25E4A6FC47}" id="{FF4C6147-94F8-524F-BDB2-9D742A424DFE}">
    <text>Fade da 127,8 (livello ricorrente FY2026)</text>
  </threadedComment>
  <threadedComment ref="J36" dT="2026-09-04T12:08:24.11" personId="{F89EDB22-7672-F645-92D6-BD25E4A6FC47}" id="{565A4550-7D7D-524E-8A59-0EC95CBDA0F0}">
    <text>Restructuring: deriva dalla fusione II-VI 2022
--&gt; Temporaneo.</text>
  </threadedComment>
  <threadedComment ref="F45" dT="2026-09-05T09:51:46.74" personId="{F89EDB22-7672-F645-92D6-BD25E4A6FC47}" id="{740ADEA0-3F4E-0D4E-A09B-9502F0A3CD4D}">
    <text>Metodo bottom-up sulla guidance</text>
  </threadedComment>
  <threadedComment ref="H45" dT="2026-09-01T14:26:18.90" personId="{F89EDB22-7672-F645-92D6-BD25E4A6FC47}" id="{B346291D-5E31-734C-85FC-9832D102F0CA}">
    <text>Capex = Deprec + ΔRicavi/efficienza
(metodo sales-to-capital)</text>
  </threadedComment>
  <threadedComment ref="O45" dT="2026-09-01T14:26:47.38" personId="{F89EDB22-7672-F645-92D6-BD25E4A6FC47}" id="{50B6B29B-73AE-3E48-8408-7AD85CB72E32}">
    <text xml:space="preserve">Reinvestimento − ΔNWC + Deprec
</text>
  </threadedComment>
  <threadedComment ref="F46" dT="2026-08-23T15:19:00.34" personId="{F89EDB22-7672-F645-92D6-BD25E4A6FC47}" id="{314F5E07-9328-E14E-82AC-EAF489C4F871}">
    <text>Run rate Q4 FY26 = 27,2%.
Guidance: "up sequencially"</text>
  </threadedComment>
  <threadedComment ref="O48" dT="2026-08-29T09:37:13.26" personId="{F89EDB22-7672-F645-92D6-BD25E4A6FC47}" id="{079CE004-0DB4-234E-A841-63AD1DA87EA9}">
    <text>Guidance: Payback =1,5 anni
Ricavi incrementali = (1/1,5)/(gross margin) OR (1/1,5)/(EBITDA)
--&gt; Media ricavi incrementali= 2,1</text>
  </threadedComment>
  <threadedComment ref="F59" dT="2026-08-24T07:34:14.86" personId="{F89EDB22-7672-F645-92D6-BD25E4A6FC47}" id="{61F1627B-87E2-6042-84F8-A58211011B44}">
    <text>Da 10K, Note "goodwill and other intangible assets"</text>
  </threadedComment>
  <threadedComment ref="G59" dT="2026-08-24T07:34:27.86" personId="{F89EDB22-7672-F645-92D6-BD25E4A6FC47}" id="{481BF65E-C450-2046-9CB6-4C52712BCBA8}">
    <text>Da 10K, Note "goodwill and other intangible assets"</text>
  </threadedComment>
  <threadedComment ref="H59" dT="2026-08-24T07:34:33.68" personId="{F89EDB22-7672-F645-92D6-BD25E4A6FC47}" id="{1FE5549F-06AB-1E40-9A7D-5F58ED7FE863}">
    <text>Da 10K, Note "goodwill and other intangible assets"</text>
  </threadedComment>
  <threadedComment ref="I59" dT="2026-08-24T07:34:39.08" personId="{F89EDB22-7672-F645-92D6-BD25E4A6FC47}" id="{752831E2-0212-A04A-8F48-852F04160AA9}">
    <text>Da 10K, Note "goodwill and other intangible assets"</text>
  </threadedComment>
  <threadedComment ref="J59" dT="2026-08-24T07:34:50.32" personId="{F89EDB22-7672-F645-92D6-BD25E4A6FC47}" id="{4F645672-C2D9-DD4F-B60A-6987DC8088CB}">
    <text>Da 10K, Note "goodwill and other intangible assets"</text>
  </threadedComment>
  <threadedComment ref="K59" dT="2026-09-02T07:45:48.65" personId="{F89EDB22-7672-F645-92D6-BD25E4A6FC47}" id="{2927FECF-3E87-F847-9A68-D2D69E7D02AE}">
    <text>Residuo oltre l'orizzonte della nota diviso per 5 anni</text>
  </threadedComment>
  <threadedComment ref="J60" dT="2026-08-24T07:42:28.31" personId="{F89EDB22-7672-F645-92D6-BD25E4A6FC47}" id="{F3D82ADF-A868-7047-A97B-51E021E12F4E}">
    <text>Intangibili netti totali  = 2884,474
- trade names = 430
==&gt; 2454,474
Da 10k, nota "goodwill and other intangible assests"</text>
  </threadedComment>
  <threadedComment ref="C68" dT="2026-08-24T08:44:19.33" personId="{F89EDB22-7672-F645-92D6-BD25E4A6FC47}" id="{234E07FA-4293-704E-AF10-084BC3A653DC}">
    <text>Account receivables FY 2024 from 10K 25 = 848,542</text>
  </threadedComment>
  <threadedComment ref="F68" dT="2026-08-26T06:36:22.89" personId="{F89EDB22-7672-F645-92D6-BD25E4A6FC47}" id="{DBF57903-0270-3042-96BA-8EC3D2303E47}">
    <text xml:space="preserve">Media storica 
</text>
  </threadedComment>
  <threadedComment ref="C69" dT="2026-08-24T08:51:07.72" personId="{F89EDB22-7672-F645-92D6-BD25E4A6FC47}" id="{85A98539-035F-3241-88B9-9F2B96CB33EB}">
    <text>Inventories FY 2024 from 10K 25 =1286,404</text>
  </threadedComment>
  <threadedComment ref="E69" dT="2026-09-03T10:50:53.48" personId="{F89EDB22-7672-F645-92D6-BD25E4A6FC47}" id="{55D8043E-3F94-0941-9497-85BE20B184F4}">
    <text>Driver jump: accumulo magazzino in vista del ramp</text>
  </threadedComment>
  <threadedComment ref="F69" dT="2026-09-02T08:00:20.39" personId="{F89EDB22-7672-F645-92D6-BD25E4A6FC47}" id="{09B62919-6740-D44F-8DCB-41CD072D6FE1}">
    <text xml:space="preserve">FY2026 riflette l'accumulo di magazzino in vista del ramp produttivo  degli anni seguenti. FY2024 e FY2025 sono pre InP 6".
--&gt; 180 è una buona via di mezzo
</text>
  </threadedComment>
  <threadedComment ref="C70" dT="2026-08-24T08:52:01.80" personId="{F89EDB22-7672-F645-92D6-BD25E4A6FC47}" id="{97668F59-29C2-C04D-B185-C2DC0F23EB36}">
    <text>Account payables FY 2024 from 10K 25 =631,548</text>
  </threadedComment>
  <threadedComment ref="E70" dT="2026-09-02T08:22:01.51" personId="{F89EDB22-7672-F645-92D6-BD25E4A6FC47}" id="{BE1E8862-7C52-7145-8A4E-F25BEF8371E9}">
    <text>Driver jump: debiti verso fornitori derivanti da CapEx,accumulo magazzino in vista del ramp</text>
  </threadedComment>
  <threadedComment ref="F70" dT="2026-09-05T09:55:43.95" personId="{F89EDB22-7672-F645-92D6-BD25E4A6FC47}" id="{E90B3A69-9A6C-1E46-AD25-D8A06F7590A8}">
    <text>Via di mezzo tra storico e picco</text>
  </threadedComment>
  <threadedComment ref="E71" dT="2026-09-02T08:25:43.83" personId="{F89EDB22-7672-F645-92D6-BD25E4A6FC47}" id="{A4152C05-3BF2-2948-89C1-4C74E058023B}">
    <text>Driver jump: anticipi ai fornitori pre ramp</text>
  </threadedComment>
  <threadedComment ref="F71" dT="2026-09-05T09:55:55.19" personId="{F89EDB22-7672-F645-92D6-BD25E4A6FC47}" id="{C41A44CD-CAF7-7743-AEAA-09D1DE6BD3FE}">
    <text>Via di mezzo tra storico e picco</text>
  </threadedComment>
  <threadedComment ref="F72" dT="2026-09-02T07:49:46.56" personId="{F89EDB22-7672-F645-92D6-BD25E4A6FC47}" id="{8057CB7B-809B-3441-AA8F-19A45ABBE783}">
    <text xml:space="preserve">Livello storico </text>
  </threadedComment>
  <threadedComment ref="F73" dT="2026-09-02T07:50:05.00" personId="{F89EDB22-7672-F645-92D6-BD25E4A6FC47}" id="{D1DA62F9-CB6D-5247-962D-6F065C8C3D7F}">
    <text>Livello storico</text>
  </threadedComment>
</ThreadedComments>
</file>

<file path=xl/threadedComments/threadedComment4.xml><?xml version="1.0" encoding="utf-8"?>
<ThreadedComments xmlns="http://schemas.microsoft.com/office/spreadsheetml/2018/threadedcomments" xmlns:x="http://schemas.openxmlformats.org/spreadsheetml/2006/main">
  <threadedComment ref="B4" dT="2026-09-04T12:01:55.25" personId="{F89EDB22-7672-F645-92D6-BD25E4A6FC47}" id="{F0060545-45D0-A74F-8BB0-A23F7C13CE18}">
    <text xml:space="preserve">BEAR - Il passaggio ai 1.6T ritarda. I concorrenti abbassano i prezzi sugli 800G. Il co-packaged optics arriva prima e toglie
mercato ai moduli tradizionali. 
BASE - L'AI prosegue come stima LightCounting. Il
passaggio 800G-&gt;1.6T avviene nei tempi previsti. Coherent tiene la sua posizione.
BULL - Il co-packaged optics slitta e i moduli 1.6T restano lo
standard più a lungo. Coherent produce internamente l'InP di conseguenza riesce a guadagnare quota.
</text>
  </threadedComment>
  <threadedComment ref="A9" dT="2026-09-04T11:44:27.43" personId="{F89EDB22-7672-F645-92D6-BD25E4A6FC47}" id="{A5BAAC2E-B40F-8041-A07F-5EC7C546B288}">
    <text xml:space="preserve">BEAR - I prezzi scendono più in fretta del previsto.
BASE - Crescita in linea con la guidance del management e con le stime di LightCounting.
BULL - La domanda supera la capacità del settore e i prezzi rimangono alti.
</text>
  </threadedComment>
  <threadedComment ref="A10" dT="2026-09-04T11:46:26.31" personId="{F89EDB22-7672-F645-92D6-BD25E4A6FC47}" id="{2392A2FF-9C35-A146-9DA9-A972ACEC8E5B}">
    <text xml:space="preserve">BEAR - Il passaggio ai 1.6T  slitta e i prezzi degli 800G sono sotto pressione.
BASE - Il mercato dei transceiver decelera dopo il picco, come
stima LightCounting.
BULL - I moduli tradizionali restano lo standard e Coherent guadagna quota.
</text>
  </threadedComment>
  <threadedComment ref="A11" dT="2026-09-04T11:48:50.60" personId="{F89EDB22-7672-F645-92D6-BD25E4A6FC47}" id="{1FA6DFDE-9C67-CF44-99F7-960F446088C5}">
    <text xml:space="preserve">BEAR - Il ciclo AI è maturo, la crescita rallenta.
BASE - Decelerazione graduale verso la crescita di lungo periodo.
BULL - Il ciclo AI si allunga grazie a nuovi investimenti.
</text>
  </threadedComment>
  <threadedComment ref="A12" dT="2026-09-04T11:51:45.77" personId="{F89EDB22-7672-F645-92D6-BD25E4A6FC47}" id="{D31EA64A-8906-7044-88E2-306676FF0428}">
    <text>BEAR - Prezzi più bassi e mix
peggiore.
BASE - Coincide con l'obiettivo di lungo periodo dichiarato dal
management.
BULL  - Premio sui 1.6T,  la produzione interna dell'InP
abbassa i costi.</text>
  </threadedComment>
  <threadedComment ref="A13" dT="2026-09-04T11:53:58.95" personId="{F89EDB22-7672-F645-92D6-BD25E4A6FC47}" id="{47B17152-4DDD-9642-ADEF-41B4A8136122}">
    <text>BEAR - I ricavi crescono meno, i costi fissi si diluiscono più lentamente.
BASE - Diluizione normale dei costi fissi su ricavi.
BULL - Ricavi più alti, stessa struttura di costi</text>
  </threadedComment>
  <threadedComment ref="A14" dT="2026-09-04T11:55:50.91" personId="{F89EDB22-7672-F645-92D6-BD25E4A6FC47}" id="{AF896AF4-8740-7E49-8108-70F8DD46C1F4}">
    <text xml:space="preserve">BEAR - crescita quasi zero, solo inflazione.
BASE - Crescita un po' più dell'economia.
BULL  - Crescita più veloce dell'economia
(Upper bound: risk free rate (4,68%). Lower bound: inflazione (2%).) 
</text>
  </threadedComment>
</ThreadedComments>
</file>

<file path=xl/threadedComments/threadedComment5.xml><?xml version="1.0" encoding="utf-8"?>
<ThreadedComments xmlns="http://schemas.microsoft.com/office/spreadsheetml/2018/threadedcomments" xmlns:x="http://schemas.openxmlformats.org/spreadsheetml/2006/main">
  <threadedComment ref="C43" dT="2026-08-27T07:37:12.94" personId="{F89EDB22-7672-F645-92D6-BD25E4A6FC47}" id="{1E208810-D3BE-0E47-B72C-11BDE645AE0A}">
    <text>Da 10K</text>
  </threadedComment>
</ThreadedComments>
</file>

<file path=xl/threadedComments/threadedComment6.xml><?xml version="1.0" encoding="utf-8"?>
<ThreadedComments xmlns="http://schemas.microsoft.com/office/spreadsheetml/2018/threadedcomments" xmlns:x="http://schemas.openxmlformats.org/spreadsheetml/2006/main">
  <threadedComment ref="C45" dT="2026-08-31T15:22:15.87" personId="{F89EDB22-7672-F645-92D6-BD25E4A6FC47}" id="{906858EC-D305-8B4E-912F-0188B78ACF29}">
    <text>Multiplo implicito nel DCF sotto la mediana dei peer.
--&gt;DCF più conservativo del mercato</text>
  </threadedComment>
</ThreadedComments>
</file>

<file path=xl/threadedComments/threadedComment7.xml><?xml version="1.0" encoding="utf-8"?>
<ThreadedComments xmlns="http://schemas.microsoft.com/office/spreadsheetml/2018/threadedcomments" xmlns:x="http://schemas.openxmlformats.org/spreadsheetml/2006/main">
  <threadedComment ref="E6" dT="2026-09-05T09:34:57.54" personId="{F89EDB22-7672-F645-92D6-BD25E4A6FC47}" id="{8E899737-B3F6-CB4E-9AA3-0903F5964F6B}">
    <text xml:space="preserve">Consensus
</text>
  </threadedComment>
  <threadedComment ref="E7" dT="2026-09-05T09:38:03.84" personId="{F89EDB22-7672-F645-92D6-BD25E4A6FC47}" id="{2B321163-9233-0A4D-845C-5B7644D7DD7F}">
    <text>Dal modello</text>
  </threadedComment>
  <threadedComment ref="C36" dT="2026-09-05T09:38:53.12" personId="{F89EDB22-7672-F645-92D6-BD25E4A6FC47}" id="{290FD8A1-F854-8E4D-A9C7-9F8D2CC4F600}">
    <text>da EBITDA di consensus</text>
  </threadedComment>
  <threadedComment ref="D36" dT="2026-09-05T09:39:16.79" personId="{F89EDB22-7672-F645-92D6-BD25E4A6FC47}" id="{F52BA8C6-2755-0D42-807B-8CE7B26FA1E5}">
    <text>Da EBITDA del modello</text>
  </threadedComment>
</ThreadedComments>
</file>

<file path=xl/worksheets/_rels/sheet1.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6.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7.xml.rels><?xml version="1.0" encoding="UTF-8" standalone="yes"?>
<Relationships xmlns="http://schemas.openxmlformats.org/package/2006/relationships"><Relationship Id="rId3" Type="http://schemas.microsoft.com/office/2017/10/relationships/threadedComment" Target="../threadedComments/threadedComment7.xml"/><Relationship Id="rId2" Type="http://schemas.openxmlformats.org/officeDocument/2006/relationships/comments" Target="../comments7.xml"/><Relationship Id="rId1" Type="http://schemas.openxmlformats.org/officeDocument/2006/relationships/vmlDrawing" Target="../drawings/vmlDrawing7.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2:O57"/>
  <sheetViews>
    <sheetView showGridLines="0" topLeftCell="A17" zoomScale="117" zoomScaleNormal="130" workbookViewId="0">
      <selection activeCell="O14" sqref="O14"/>
    </sheetView>
  </sheetViews>
  <sheetFormatPr baseColWidth="10" defaultRowHeight="15" x14ac:dyDescent="0.2"/>
  <cols>
    <col min="1" max="1" width="24.83203125" bestFit="1" customWidth="1"/>
  </cols>
  <sheetData>
    <row r="2" spans="1:15" x14ac:dyDescent="0.2">
      <c r="A2" s="45" t="s">
        <v>162</v>
      </c>
      <c r="B2" s="22"/>
      <c r="C2" s="99">
        <f>WACC!D17</f>
        <v>0.11828878124435303</v>
      </c>
    </row>
    <row r="3" spans="1:15" x14ac:dyDescent="0.2">
      <c r="A3" s="103" t="s">
        <v>181</v>
      </c>
      <c r="B3" s="42"/>
      <c r="C3" s="118">
        <f>DCF!$B$6</f>
        <v>0.03</v>
      </c>
    </row>
    <row r="4" spans="1:15" x14ac:dyDescent="0.2">
      <c r="A4" s="46" t="s">
        <v>281</v>
      </c>
      <c r="B4" s="104"/>
      <c r="C4" s="107">
        <f>Estimates!O39*(1-O29)/(Estimates!N56+Estimates!N85+'Consolidated Balance Sheet'!C15+'Consolidated Balance Sheet'!C16-SUM(Estimates!$F$59:'Estimates'!N59))</f>
        <v>0.2302001339431804</v>
      </c>
    </row>
    <row r="7" spans="1:15" x14ac:dyDescent="0.2">
      <c r="A7" s="12" t="s">
        <v>0</v>
      </c>
      <c r="B7" s="12"/>
      <c r="C7" s="13">
        <v>2024</v>
      </c>
      <c r="D7" s="13">
        <v>2025</v>
      </c>
      <c r="E7" s="47">
        <v>2026</v>
      </c>
      <c r="F7" s="14">
        <f t="shared" ref="F7:O7" si="0">E7+1</f>
        <v>2027</v>
      </c>
      <c r="G7" s="14">
        <f t="shared" si="0"/>
        <v>2028</v>
      </c>
      <c r="H7" s="14">
        <f t="shared" si="0"/>
        <v>2029</v>
      </c>
      <c r="I7" s="14">
        <f t="shared" si="0"/>
        <v>2030</v>
      </c>
      <c r="J7" s="14">
        <f t="shared" si="0"/>
        <v>2031</v>
      </c>
      <c r="K7" s="14">
        <f t="shared" si="0"/>
        <v>2032</v>
      </c>
      <c r="L7" s="14">
        <f t="shared" si="0"/>
        <v>2033</v>
      </c>
      <c r="M7" s="14">
        <f t="shared" si="0"/>
        <v>2034</v>
      </c>
      <c r="N7" s="14">
        <f t="shared" si="0"/>
        <v>2035</v>
      </c>
      <c r="O7" s="14">
        <f t="shared" si="0"/>
        <v>2036</v>
      </c>
    </row>
    <row r="8" spans="1:15" x14ac:dyDescent="0.2">
      <c r="E8" s="48"/>
    </row>
    <row r="9" spans="1:15" x14ac:dyDescent="0.2">
      <c r="A9" s="4" t="s">
        <v>1</v>
      </c>
      <c r="C9" s="15">
        <f>'Note 20 - Segment Results'!B6</f>
        <v>2631.3690000000001</v>
      </c>
      <c r="D9" s="15">
        <f>'Note 20 - Segment Results'!C6</f>
        <v>3755.1640000000002</v>
      </c>
      <c r="E9" s="49">
        <f>'Note 20 - Segment Results'!D6</f>
        <v>5274.6289999999999</v>
      </c>
      <c r="F9" s="56">
        <f>F17-F13</f>
        <v>8761.7545599999994</v>
      </c>
      <c r="G9" s="56">
        <f>F9*(1+G10)</f>
        <v>11931.655989214483</v>
      </c>
      <c r="H9" s="56">
        <f t="shared" ref="H9:O9" si="1">G9*(1+H10)</f>
        <v>15082.251116244825</v>
      </c>
      <c r="I9" s="56">
        <f t="shared" si="1"/>
        <v>18174.112595075014</v>
      </c>
      <c r="J9" s="56">
        <f t="shared" si="1"/>
        <v>21263.711736237765</v>
      </c>
      <c r="K9" s="56">
        <f t="shared" si="1"/>
        <v>24283.158802783524</v>
      </c>
      <c r="L9" s="56">
        <f t="shared" si="1"/>
        <v>27051.438906300849</v>
      </c>
      <c r="M9" s="56">
        <f t="shared" si="1"/>
        <v>29377.862652242726</v>
      </c>
      <c r="N9" s="56">
        <f t="shared" si="1"/>
        <v>31081.778686072805</v>
      </c>
      <c r="O9" s="56">
        <f t="shared" si="1"/>
        <v>32014.23204665499</v>
      </c>
    </row>
    <row r="10" spans="1:15" x14ac:dyDescent="0.2">
      <c r="A10" s="20" t="s">
        <v>3</v>
      </c>
      <c r="B10" s="20"/>
      <c r="C10" s="20"/>
      <c r="D10" s="20">
        <f>(D9/C9)-1</f>
        <v>0.4270761721370131</v>
      </c>
      <c r="E10" s="50">
        <f>(E9/D9)-1</f>
        <v>0.40463345941748474</v>
      </c>
      <c r="F10" s="20">
        <f>(F9/E9)-1</f>
        <v>0.66111295410539772</v>
      </c>
      <c r="G10" s="20">
        <f>Estimates!K7</f>
        <v>0.36178843033175356</v>
      </c>
      <c r="H10" s="20">
        <f>Estimates!K8</f>
        <v>0.26405346666701535</v>
      </c>
      <c r="I10" s="20">
        <f>Estimates!K9</f>
        <v>0.20499999999999999</v>
      </c>
      <c r="J10" s="20">
        <f>Estimates!K10</f>
        <v>0.17</v>
      </c>
      <c r="K10" s="20">
        <f>$J$10-($J$10-$C$3)*(K$7-$J$7)/5</f>
        <v>0.14200000000000002</v>
      </c>
      <c r="L10" s="20">
        <f>$J$10-($J$10-$C$3)*(L$7-$J$7)/5</f>
        <v>0.114</v>
      </c>
      <c r="M10" s="20">
        <f>$J$10-($J$10-$C$3)*(M$7-$J$7)/5</f>
        <v>8.6000000000000007E-2</v>
      </c>
      <c r="N10" s="20">
        <f>$J$10-($J$10-$C$3)*(N$7-$J$7)/5</f>
        <v>5.7999999999999996E-2</v>
      </c>
      <c r="O10" s="20">
        <f>$J$10-($J$10-$C$3)*(O$7-$J$7)/5</f>
        <v>0.03</v>
      </c>
    </row>
    <row r="11" spans="1:15" x14ac:dyDescent="0.2">
      <c r="A11" s="20" t="s">
        <v>2</v>
      </c>
      <c r="B11" s="20"/>
      <c r="C11" s="20">
        <f t="shared" ref="C11:O11" si="2">C9/C$17</f>
        <v>0.55895144283138565</v>
      </c>
      <c r="D11" s="20">
        <f t="shared" si="2"/>
        <v>0.64631491803518526</v>
      </c>
      <c r="E11" s="50">
        <f t="shared" si="2"/>
        <v>0.74100799066503087</v>
      </c>
      <c r="F11" s="59">
        <f t="shared" si="2"/>
        <v>0.83049806255924163</v>
      </c>
      <c r="G11" s="20">
        <f t="shared" si="2"/>
        <v>0.86291218081618648</v>
      </c>
      <c r="H11" s="20">
        <f t="shared" si="2"/>
        <v>0.8824404065712087</v>
      </c>
      <c r="I11" s="20">
        <f t="shared" si="2"/>
        <v>0.89598935458569073</v>
      </c>
      <c r="J11" s="20">
        <f t="shared" si="2"/>
        <v>0.90605769277026715</v>
      </c>
      <c r="K11" s="20">
        <f t="shared" si="2"/>
        <v>0.9135728540427035</v>
      </c>
      <c r="L11" s="20">
        <f t="shared" si="2"/>
        <v>0.91891977596372665</v>
      </c>
      <c r="M11" s="20">
        <f t="shared" si="2"/>
        <v>0.92236293403621328</v>
      </c>
      <c r="N11" s="20">
        <f t="shared" si="2"/>
        <v>0.92405814109799977</v>
      </c>
      <c r="O11" s="20">
        <f t="shared" si="2"/>
        <v>0.92405814109799966</v>
      </c>
    </row>
    <row r="12" spans="1:15" x14ac:dyDescent="0.2">
      <c r="E12" s="48"/>
    </row>
    <row r="13" spans="1:15" x14ac:dyDescent="0.2">
      <c r="A13" s="4" t="s">
        <v>4</v>
      </c>
      <c r="C13" s="15">
        <f>'Note 20 - Segment Results'!B7</f>
        <v>2076.319</v>
      </c>
      <c r="D13" s="15">
        <f>'Note 20 - Segment Results'!C7</f>
        <v>2054.951</v>
      </c>
      <c r="E13" s="49">
        <f>'Note 20 - Segment Results'!D7</f>
        <v>1843.5519999999999</v>
      </c>
      <c r="F13" s="56">
        <f>E13*(1+F14)</f>
        <v>1788.2454399999999</v>
      </c>
      <c r="G13" s="56">
        <f>F13*(1+G14)</f>
        <v>1895.5401664000001</v>
      </c>
      <c r="H13" s="56">
        <f t="shared" ref="H13:O13" si="3">G13*(1+H14)</f>
        <v>2009.2725763840001</v>
      </c>
      <c r="I13" s="56">
        <f t="shared" si="3"/>
        <v>2109.7362052032004</v>
      </c>
      <c r="J13" s="56">
        <f t="shared" si="3"/>
        <v>2204.6743344373444</v>
      </c>
      <c r="K13" s="56">
        <f t="shared" si="3"/>
        <v>2297.2706564837131</v>
      </c>
      <c r="L13" s="56">
        <f t="shared" si="3"/>
        <v>2386.8642120865779</v>
      </c>
      <c r="M13" s="56">
        <f t="shared" si="3"/>
        <v>2472.7913237216949</v>
      </c>
      <c r="N13" s="56">
        <f t="shared" si="3"/>
        <v>2554.3934374045107</v>
      </c>
      <c r="O13" s="56">
        <f t="shared" si="3"/>
        <v>2631.025240526646</v>
      </c>
    </row>
    <row r="14" spans="1:15" x14ac:dyDescent="0.2">
      <c r="A14" s="16" t="s">
        <v>3</v>
      </c>
      <c r="B14" s="16"/>
      <c r="C14" s="16"/>
      <c r="D14" s="20">
        <f>(D13/C13)-1</f>
        <v>-1.0291289536916048E-2</v>
      </c>
      <c r="E14" s="50">
        <f>(E13/D13)-1</f>
        <v>-0.10287301254385151</v>
      </c>
      <c r="F14" s="58">
        <v>-0.03</v>
      </c>
      <c r="G14" s="20">
        <f>Estimates!K15</f>
        <v>0.06</v>
      </c>
      <c r="H14" s="20">
        <f>Estimates!K16</f>
        <v>0.06</v>
      </c>
      <c r="I14" s="20">
        <f>Estimates!K17</f>
        <v>0.05</v>
      </c>
      <c r="J14" s="20">
        <f>Estimates!K18</f>
        <v>4.4999999999999998E-2</v>
      </c>
      <c r="K14" s="20">
        <f>$J$14-($J$14-$C$3)*(K$7-$J$7)/5</f>
        <v>4.1999999999999996E-2</v>
      </c>
      <c r="L14" s="20">
        <f>$J$14-($J$14-$C$3)*(L$7-$J$7)/5</f>
        <v>3.9E-2</v>
      </c>
      <c r="M14" s="20">
        <f>$J$14-($J$14-$C$3)*(M$7-$J$7)/5</f>
        <v>3.5999999999999997E-2</v>
      </c>
      <c r="N14" s="20">
        <f>$J$14-($J$14-$C$3)*(N$7-$J$7)/5</f>
        <v>3.3000000000000002E-2</v>
      </c>
      <c r="O14" s="20">
        <f>$J$14-($J$14-$C$3)*(O$7-$J$7)/5</f>
        <v>0.03</v>
      </c>
    </row>
    <row r="15" spans="1:15" x14ac:dyDescent="0.2">
      <c r="A15" s="16" t="s">
        <v>2</v>
      </c>
      <c r="B15" s="16"/>
      <c r="C15" s="20">
        <f t="shared" ref="C15:O15" si="4">C13/C$17</f>
        <v>0.44104855716861441</v>
      </c>
      <c r="D15" s="20">
        <f t="shared" si="4"/>
        <v>0.35368508196481485</v>
      </c>
      <c r="E15" s="50">
        <f t="shared" si="4"/>
        <v>0.25899200933496913</v>
      </c>
      <c r="F15" s="59">
        <f t="shared" si="4"/>
        <v>0.16950193744075828</v>
      </c>
      <c r="G15" s="20">
        <f t="shared" si="4"/>
        <v>0.13708781918381355</v>
      </c>
      <c r="H15" s="20">
        <f t="shared" si="4"/>
        <v>0.11755959342879141</v>
      </c>
      <c r="I15" s="20">
        <f t="shared" si="4"/>
        <v>0.10401064541430929</v>
      </c>
      <c r="J15" s="20">
        <f t="shared" si="4"/>
        <v>9.3942307229732874E-2</v>
      </c>
      <c r="K15" s="20">
        <f t="shared" si="4"/>
        <v>8.6427145957296489E-2</v>
      </c>
      <c r="L15" s="20">
        <f t="shared" si="4"/>
        <v>8.1080224036273379E-2</v>
      </c>
      <c r="M15" s="20">
        <f t="shared" si="4"/>
        <v>7.7637065963786694E-2</v>
      </c>
      <c r="N15" s="20">
        <f t="shared" si="4"/>
        <v>7.5941858902000323E-2</v>
      </c>
      <c r="O15" s="20">
        <f t="shared" si="4"/>
        <v>7.5941858902000309E-2</v>
      </c>
    </row>
    <row r="16" spans="1:15" x14ac:dyDescent="0.2">
      <c r="E16" s="48"/>
    </row>
    <row r="17" spans="1:15" x14ac:dyDescent="0.2">
      <c r="A17" s="21" t="s">
        <v>156</v>
      </c>
      <c r="B17" s="22"/>
      <c r="C17" s="23">
        <f>C9+C13</f>
        <v>4707.6880000000001</v>
      </c>
      <c r="D17" s="23">
        <f>D9+D13</f>
        <v>5810.1149999999998</v>
      </c>
      <c r="E17" s="51">
        <f>E9+E13</f>
        <v>7118.1809999999996</v>
      </c>
      <c r="F17" s="55">
        <v>10550</v>
      </c>
      <c r="G17" s="23">
        <f>G9+G13</f>
        <v>13827.196155614483</v>
      </c>
      <c r="H17" s="23">
        <f t="shared" ref="H17:O17" si="5">H9+H13</f>
        <v>17091.523692628823</v>
      </c>
      <c r="I17" s="23">
        <f t="shared" si="5"/>
        <v>20283.848800278214</v>
      </c>
      <c r="J17" s="23">
        <f t="shared" si="5"/>
        <v>23468.386070675107</v>
      </c>
      <c r="K17" s="23">
        <f t="shared" si="5"/>
        <v>26580.429459267238</v>
      </c>
      <c r="L17" s="23">
        <f t="shared" si="5"/>
        <v>29438.303118387426</v>
      </c>
      <c r="M17" s="23">
        <f t="shared" si="5"/>
        <v>31850.653975964422</v>
      </c>
      <c r="N17" s="23">
        <f t="shared" si="5"/>
        <v>33636.172123477314</v>
      </c>
      <c r="O17" s="60">
        <f t="shared" si="5"/>
        <v>34645.257287181637</v>
      </c>
    </row>
    <row r="18" spans="1:15" x14ac:dyDescent="0.2">
      <c r="A18" s="24" t="s">
        <v>3</v>
      </c>
      <c r="B18" s="25"/>
      <c r="C18" s="25"/>
      <c r="D18" s="26">
        <f>(D17/C17)-1</f>
        <v>0.23417588421322733</v>
      </c>
      <c r="E18" s="26">
        <f>(E17/D17)-1</f>
        <v>0.2251359912841655</v>
      </c>
      <c r="F18" s="57">
        <f>(F17/E17)-1</f>
        <v>0.48212022144421462</v>
      </c>
      <c r="G18" s="26">
        <f>(G17/F17)-1</f>
        <v>0.31063470669331594</v>
      </c>
      <c r="H18" s="26">
        <f t="shared" ref="H18:O18" si="6">(H17/G17)-1</f>
        <v>0.2360802219247371</v>
      </c>
      <c r="I18" s="26">
        <f t="shared" si="6"/>
        <v>0.1867782630185375</v>
      </c>
      <c r="J18" s="26">
        <f t="shared" si="6"/>
        <v>0.15699866932321127</v>
      </c>
      <c r="K18" s="26">
        <f t="shared" si="6"/>
        <v>0.13260576927702661</v>
      </c>
      <c r="L18" s="26">
        <f t="shared" si="6"/>
        <v>0.10751796405320291</v>
      </c>
      <c r="M18" s="26">
        <f t="shared" si="6"/>
        <v>8.1945988798186598E-2</v>
      </c>
      <c r="N18" s="26">
        <f t="shared" si="6"/>
        <v>5.6059073350905209E-2</v>
      </c>
      <c r="O18" s="61">
        <f t="shared" si="6"/>
        <v>3.0000000000000027E-2</v>
      </c>
    </row>
    <row r="19" spans="1:15" x14ac:dyDescent="0.2">
      <c r="E19" s="48"/>
    </row>
    <row r="20" spans="1:15" x14ac:dyDescent="0.2">
      <c r="A20" s="12" t="s">
        <v>151</v>
      </c>
      <c r="B20" s="12"/>
      <c r="C20" s="13">
        <v>2024</v>
      </c>
      <c r="D20" s="13">
        <v>2025</v>
      </c>
      <c r="E20" s="47">
        <v>2026</v>
      </c>
      <c r="F20" s="14">
        <f t="shared" ref="F20:O20" si="7">E20+1</f>
        <v>2027</v>
      </c>
      <c r="G20" s="14">
        <f t="shared" si="7"/>
        <v>2028</v>
      </c>
      <c r="H20" s="14">
        <f t="shared" si="7"/>
        <v>2029</v>
      </c>
      <c r="I20" s="14">
        <f t="shared" si="7"/>
        <v>2030</v>
      </c>
      <c r="J20" s="14">
        <f t="shared" si="7"/>
        <v>2031</v>
      </c>
      <c r="K20" s="14">
        <f t="shared" si="7"/>
        <v>2032</v>
      </c>
      <c r="L20" s="14">
        <f t="shared" si="7"/>
        <v>2033</v>
      </c>
      <c r="M20" s="14">
        <f t="shared" si="7"/>
        <v>2034</v>
      </c>
      <c r="N20" s="14">
        <f t="shared" si="7"/>
        <v>2035</v>
      </c>
      <c r="O20" s="14">
        <f t="shared" si="7"/>
        <v>2036</v>
      </c>
    </row>
    <row r="21" spans="1:15" x14ac:dyDescent="0.2">
      <c r="E21" s="48"/>
    </row>
    <row r="22" spans="1:15" x14ac:dyDescent="0.2">
      <c r="A22" s="21" t="s">
        <v>151</v>
      </c>
      <c r="B22" s="22"/>
      <c r="C22" s="87">
        <f>'Consolidated Income Stmt'!B4-'Consolidated Income Stmt'!B6-'Consolidated Income Stmt'!B7-'Consolidated Income Stmt'!B8-'Consolidated Income Stmt'!B9-'Consolidated Income Stmt'!B10-'Consolidated Income Stmt'!B11</f>
        <v>96.120999999999952</v>
      </c>
      <c r="D22" s="87">
        <f>'Consolidated Income Stmt'!C4-'Consolidated Income Stmt'!C6-'Consolidated Income Stmt'!C7-'Consolidated Income Stmt'!C8-'Consolidated Income Stmt'!C9-'Consolidated Income Stmt'!C10-'Consolidated Income Stmt'!C11</f>
        <v>289.87799999999964</v>
      </c>
      <c r="E22" s="88">
        <f>'Consolidated Income Stmt'!D4-'Consolidated Income Stmt'!D6-'Consolidated Income Stmt'!D7-'Consolidated Income Stmt'!D8-'Consolidated Income Stmt'!D9-'Consolidated Income Stmt'!D10-'Consolidated Income Stmt'!D11</f>
        <v>897.86099999999999</v>
      </c>
      <c r="F22" s="66">
        <f>Estimates!F39</f>
        <v>1671.3000000000002</v>
      </c>
      <c r="G22" s="66">
        <f>Estimates!G39</f>
        <v>2465.7678310922461</v>
      </c>
      <c r="H22" s="66">
        <f>Estimates!H39</f>
        <v>3366.9103893973461</v>
      </c>
      <c r="I22" s="66">
        <f>Estimates!I39</f>
        <v>4361.3113408600948</v>
      </c>
      <c r="J22" s="66">
        <f>Estimates!J39</f>
        <v>5460.311159110408</v>
      </c>
      <c r="K22" s="66">
        <f>Estimates!K39</f>
        <v>6627.3870785106328</v>
      </c>
      <c r="L22" s="66">
        <f>Estimates!L39</f>
        <v>7830.5886294910561</v>
      </c>
      <c r="M22" s="66">
        <f>Estimates!M39</f>
        <v>8472.2739576065378</v>
      </c>
      <c r="N22" s="66">
        <f>Estimates!N39</f>
        <v>8947.2217848449654</v>
      </c>
      <c r="O22" s="67">
        <f>Estimates!O39</f>
        <v>9215.6384383903151</v>
      </c>
    </row>
    <row r="23" spans="1:15" x14ac:dyDescent="0.2">
      <c r="A23" s="28" t="s">
        <v>3</v>
      </c>
      <c r="B23" s="30"/>
      <c r="C23" s="30"/>
      <c r="D23" s="32">
        <f>(D22/C22)-1</f>
        <v>2.0157613840888025</v>
      </c>
      <c r="E23" s="30">
        <f>(E22/D22)-1</f>
        <v>2.0973754476020985</v>
      </c>
      <c r="F23" s="68">
        <f t="shared" ref="F23:O23" si="8">(F22/E22)-1</f>
        <v>0.86142398433610579</v>
      </c>
      <c r="G23" s="30">
        <f>(G22/F22)-1</f>
        <v>0.47535920007912758</v>
      </c>
      <c r="H23" s="30">
        <f t="shared" si="8"/>
        <v>0.36546123562084376</v>
      </c>
      <c r="I23" s="30">
        <f t="shared" si="8"/>
        <v>0.2953452383509203</v>
      </c>
      <c r="J23" s="30">
        <f t="shared" si="8"/>
        <v>0.25198838889442343</v>
      </c>
      <c r="K23" s="30">
        <f t="shared" si="8"/>
        <v>0.21373798770661345</v>
      </c>
      <c r="L23" s="30">
        <f t="shared" si="8"/>
        <v>0.18154991352199956</v>
      </c>
      <c r="M23" s="30">
        <f t="shared" si="8"/>
        <v>8.1945988798186598E-2</v>
      </c>
      <c r="N23" s="30">
        <f t="shared" si="8"/>
        <v>5.6059073350904987E-2</v>
      </c>
      <c r="O23" s="31">
        <f t="shared" si="8"/>
        <v>3.0000000000000027E-2</v>
      </c>
    </row>
    <row r="24" spans="1:15" x14ac:dyDescent="0.2">
      <c r="A24" s="24" t="s">
        <v>2</v>
      </c>
      <c r="B24" s="25"/>
      <c r="C24" s="26">
        <f t="shared" ref="C24:O24" si="9">C22/C$17</f>
        <v>2.0417878160149939E-2</v>
      </c>
      <c r="D24" s="26">
        <f t="shared" si="9"/>
        <v>4.989195566697039E-2</v>
      </c>
      <c r="E24" s="52">
        <f t="shared" si="9"/>
        <v>0.12613629802332929</v>
      </c>
      <c r="F24" s="26">
        <f t="shared" si="9"/>
        <v>0.15841706161137442</v>
      </c>
      <c r="G24" s="26">
        <f t="shared" si="9"/>
        <v>0.1783273921438534</v>
      </c>
      <c r="H24" s="26">
        <f t="shared" si="9"/>
        <v>0.19699299196182352</v>
      </c>
      <c r="I24" s="26">
        <f t="shared" si="9"/>
        <v>0.21501399383337322</v>
      </c>
      <c r="J24" s="26">
        <f t="shared" si="9"/>
        <v>0.23266666666666666</v>
      </c>
      <c r="K24" s="26">
        <f t="shared" si="9"/>
        <v>0.24933333333333338</v>
      </c>
      <c r="L24" s="26">
        <f t="shared" si="9"/>
        <v>0.26600000000000001</v>
      </c>
      <c r="M24" s="26">
        <f t="shared" si="9"/>
        <v>0.26600000000000007</v>
      </c>
      <c r="N24" s="26">
        <f t="shared" si="9"/>
        <v>0.26600000000000001</v>
      </c>
      <c r="O24" s="61">
        <f t="shared" si="9"/>
        <v>0.26599999999999996</v>
      </c>
    </row>
    <row r="25" spans="1:15" x14ac:dyDescent="0.2">
      <c r="E25" s="48"/>
    </row>
    <row r="26" spans="1:15" x14ac:dyDescent="0.2">
      <c r="A26" s="12" t="s">
        <v>153</v>
      </c>
      <c r="B26" s="12"/>
      <c r="C26" s="13">
        <v>2024</v>
      </c>
      <c r="D26" s="13">
        <v>2025</v>
      </c>
      <c r="E26" s="47">
        <v>2026</v>
      </c>
      <c r="F26" s="14">
        <f t="shared" ref="F26:O26" si="10">E26+1</f>
        <v>2027</v>
      </c>
      <c r="G26" s="14">
        <f t="shared" si="10"/>
        <v>2028</v>
      </c>
      <c r="H26" s="14">
        <f t="shared" si="10"/>
        <v>2029</v>
      </c>
      <c r="I26" s="14">
        <f t="shared" si="10"/>
        <v>2030</v>
      </c>
      <c r="J26" s="14">
        <f t="shared" si="10"/>
        <v>2031</v>
      </c>
      <c r="K26" s="14">
        <f t="shared" si="10"/>
        <v>2032</v>
      </c>
      <c r="L26" s="14">
        <f t="shared" si="10"/>
        <v>2033</v>
      </c>
      <c r="M26" s="14">
        <f t="shared" si="10"/>
        <v>2034</v>
      </c>
      <c r="N26" s="14">
        <f t="shared" si="10"/>
        <v>2035</v>
      </c>
      <c r="O26" s="14">
        <f t="shared" si="10"/>
        <v>2036</v>
      </c>
    </row>
    <row r="27" spans="1:15" x14ac:dyDescent="0.2">
      <c r="E27" s="48"/>
    </row>
    <row r="28" spans="1:15" x14ac:dyDescent="0.2">
      <c r="A28" s="21" t="s">
        <v>152</v>
      </c>
      <c r="B28" s="22"/>
      <c r="C28" s="34">
        <v>11.117000000000001</v>
      </c>
      <c r="D28" s="33">
        <v>64.123999999999995</v>
      </c>
      <c r="E28" s="33">
        <v>60.848999999999997</v>
      </c>
      <c r="F28" s="71">
        <f>F22*F29</f>
        <v>350.97300000000001</v>
      </c>
      <c r="G28" s="66">
        <f t="shared" ref="G28:O28" si="11">G22*G29</f>
        <v>517.81124452937161</v>
      </c>
      <c r="H28" s="66">
        <f t="shared" si="11"/>
        <v>707.05118177344264</v>
      </c>
      <c r="I28" s="66">
        <f t="shared" si="11"/>
        <v>915.87538158061989</v>
      </c>
      <c r="J28" s="66">
        <f t="shared" si="11"/>
        <v>1146.6653434131856</v>
      </c>
      <c r="K28" s="66">
        <f t="shared" si="11"/>
        <v>1391.7512864872328</v>
      </c>
      <c r="L28" s="66">
        <f t="shared" si="11"/>
        <v>1644.4236121931217</v>
      </c>
      <c r="M28" s="66">
        <f t="shared" si="11"/>
        <v>1779.1775310973728</v>
      </c>
      <c r="N28" s="66">
        <f t="shared" si="11"/>
        <v>1878.9165748174428</v>
      </c>
      <c r="O28" s="67">
        <f t="shared" si="11"/>
        <v>1935.2840720619661</v>
      </c>
    </row>
    <row r="29" spans="1:15" x14ac:dyDescent="0.2">
      <c r="A29" s="24" t="s">
        <v>154</v>
      </c>
      <c r="B29" s="25"/>
      <c r="C29" s="27">
        <f>'Consolidated Income Stmt'!B16/'Consolidated Income Stmt'!B15</f>
        <v>-7.5294452308546742E-2</v>
      </c>
      <c r="D29" s="26">
        <f>'Consolidated Income Stmt'!C16/'Consolidated Income Stmt'!C15</f>
        <v>0.68085919665325279</v>
      </c>
      <c r="E29" s="52">
        <f>'Consolidated Income Stmt'!D16/'Consolidated Income Stmt'!D15</f>
        <v>7.1778496295413774E-2</v>
      </c>
      <c r="F29" s="70">
        <v>0.21</v>
      </c>
      <c r="G29" s="70">
        <v>0.21</v>
      </c>
      <c r="H29" s="70">
        <v>0.21</v>
      </c>
      <c r="I29" s="70">
        <v>0.21</v>
      </c>
      <c r="J29" s="70">
        <v>0.21</v>
      </c>
      <c r="K29" s="70">
        <v>0.21</v>
      </c>
      <c r="L29" s="70">
        <v>0.21</v>
      </c>
      <c r="M29" s="70">
        <v>0.21</v>
      </c>
      <c r="N29" s="70">
        <v>0.21</v>
      </c>
      <c r="O29" s="72">
        <v>0.21</v>
      </c>
    </row>
    <row r="30" spans="1:15" x14ac:dyDescent="0.2">
      <c r="E30" s="48"/>
    </row>
    <row r="31" spans="1:15" x14ac:dyDescent="0.2">
      <c r="A31" s="12" t="s">
        <v>155</v>
      </c>
      <c r="B31" s="12"/>
      <c r="C31" s="13">
        <v>2024</v>
      </c>
      <c r="D31" s="13">
        <v>2025</v>
      </c>
      <c r="E31" s="47">
        <v>2026</v>
      </c>
      <c r="F31" s="14">
        <f t="shared" ref="F31:O31" si="12">E31+1</f>
        <v>2027</v>
      </c>
      <c r="G31" s="14">
        <f t="shared" si="12"/>
        <v>2028</v>
      </c>
      <c r="H31" s="14">
        <f t="shared" si="12"/>
        <v>2029</v>
      </c>
      <c r="I31" s="14">
        <f t="shared" si="12"/>
        <v>2030</v>
      </c>
      <c r="J31" s="14">
        <f t="shared" si="12"/>
        <v>2031</v>
      </c>
      <c r="K31" s="14">
        <f t="shared" si="12"/>
        <v>2032</v>
      </c>
      <c r="L31" s="14">
        <f t="shared" si="12"/>
        <v>2033</v>
      </c>
      <c r="M31" s="14">
        <f t="shared" si="12"/>
        <v>2034</v>
      </c>
      <c r="N31" s="14">
        <f t="shared" si="12"/>
        <v>2035</v>
      </c>
      <c r="O31" s="14">
        <f t="shared" si="12"/>
        <v>2036</v>
      </c>
    </row>
    <row r="32" spans="1:15" x14ac:dyDescent="0.2">
      <c r="E32" s="48"/>
    </row>
    <row r="33" spans="1:15" x14ac:dyDescent="0.2">
      <c r="A33" s="4" t="s">
        <v>1</v>
      </c>
      <c r="C33" s="15">
        <f>'Note 20 - D&amp;A by Segment'!B5</f>
        <v>213.69300000000001</v>
      </c>
      <c r="D33" s="15">
        <f>'Note 20 - D&amp;A by Segment'!C5</f>
        <v>209.29300000000001</v>
      </c>
      <c r="E33" s="49">
        <f>'Note 20 - D&amp;A by Segment'!D5</f>
        <v>212.56</v>
      </c>
    </row>
    <row r="34" spans="1:15" x14ac:dyDescent="0.2">
      <c r="A34" s="20" t="s">
        <v>3</v>
      </c>
      <c r="B34" s="20"/>
      <c r="C34" s="20"/>
      <c r="D34" s="20">
        <f>(D33/C33)-1</f>
        <v>-2.0590286064588015E-2</v>
      </c>
      <c r="E34" s="50">
        <f>(E33/D33)-1</f>
        <v>1.5609695498654874E-2</v>
      </c>
      <c r="F34" s="20"/>
      <c r="G34" s="20"/>
      <c r="H34" s="20"/>
      <c r="I34" s="20"/>
      <c r="J34" s="20"/>
      <c r="K34" s="20"/>
      <c r="L34" s="20"/>
      <c r="M34" s="20"/>
      <c r="N34" s="20"/>
      <c r="O34" s="20"/>
    </row>
    <row r="35" spans="1:15" x14ac:dyDescent="0.2">
      <c r="A35" s="20" t="s">
        <v>158</v>
      </c>
      <c r="B35" s="20"/>
      <c r="C35" s="20">
        <f>C33/C$41</f>
        <v>0.38552284527705516</v>
      </c>
      <c r="D35" s="20">
        <f>D33/D$41</f>
        <v>0.38145515519346779</v>
      </c>
      <c r="E35" s="50">
        <f>E33/E$41</f>
        <v>0.41072808780336995</v>
      </c>
      <c r="F35" s="20"/>
      <c r="G35" s="20"/>
      <c r="H35" s="20"/>
      <c r="I35" s="20"/>
      <c r="J35" s="20"/>
      <c r="K35" s="20"/>
      <c r="L35" s="20"/>
      <c r="M35" s="20"/>
      <c r="N35" s="20"/>
      <c r="O35" s="20"/>
    </row>
    <row r="36" spans="1:15" x14ac:dyDescent="0.2">
      <c r="E36" s="48"/>
    </row>
    <row r="37" spans="1:15" x14ac:dyDescent="0.2">
      <c r="A37" s="4" t="s">
        <v>4</v>
      </c>
      <c r="C37" s="15">
        <f>'Note 20 - D&amp;A by Segment'!B6</f>
        <v>340.601</v>
      </c>
      <c r="D37" s="15">
        <f>'Note 20 - D&amp;A by Segment'!C6</f>
        <v>339.37700000000001</v>
      </c>
      <c r="E37" s="49">
        <f>'Note 20 - D&amp;A by Segment'!D6</f>
        <v>304.95999999999998</v>
      </c>
      <c r="G37" s="20"/>
    </row>
    <row r="38" spans="1:15" x14ac:dyDescent="0.2">
      <c r="A38" s="16" t="s">
        <v>3</v>
      </c>
      <c r="B38" s="16"/>
      <c r="C38" s="16"/>
      <c r="D38" s="20">
        <f>(D37/C37)-1</f>
        <v>-3.5936476992139976E-3</v>
      </c>
      <c r="E38" s="50">
        <f>(E37/D37)-1</f>
        <v>-0.1014122937028733</v>
      </c>
    </row>
    <row r="39" spans="1:15" x14ac:dyDescent="0.2">
      <c r="A39" s="16" t="s">
        <v>158</v>
      </c>
      <c r="B39" s="16"/>
      <c r="C39" s="20">
        <f>C37/C$41</f>
        <v>0.61447715472294484</v>
      </c>
      <c r="D39" s="20">
        <f>D37/D$41</f>
        <v>0.61854484480653205</v>
      </c>
      <c r="E39" s="50">
        <f>E37/E$41</f>
        <v>0.58927191219663011</v>
      </c>
    </row>
    <row r="40" spans="1:15" x14ac:dyDescent="0.2">
      <c r="E40" s="48"/>
    </row>
    <row r="41" spans="1:15" x14ac:dyDescent="0.2">
      <c r="A41" s="21" t="s">
        <v>157</v>
      </c>
      <c r="B41" s="22"/>
      <c r="C41" s="23">
        <f>C33+C37</f>
        <v>554.29399999999998</v>
      </c>
      <c r="D41" s="23">
        <f>D33+D37</f>
        <v>548.67000000000007</v>
      </c>
      <c r="E41" s="23">
        <f>E33+E37</f>
        <v>517.52</v>
      </c>
      <c r="F41" s="71">
        <f>Estimates!F63</f>
        <v>663.16998702747844</v>
      </c>
      <c r="G41" s="66">
        <f>Estimates!G63</f>
        <v>918.18536922187513</v>
      </c>
      <c r="H41" s="66">
        <f>Estimates!H63</f>
        <v>1254.8459306845298</v>
      </c>
      <c r="I41" s="66">
        <f>Estimates!I63</f>
        <v>1449.7771838044337</v>
      </c>
      <c r="J41" s="66">
        <f>Estimates!J63</f>
        <v>1633.8240707477489</v>
      </c>
      <c r="K41" s="66">
        <f>Estimates!K63</f>
        <v>1825.5778209868245</v>
      </c>
      <c r="L41" s="66">
        <f>Estimates!L63</f>
        <v>2016.2430952781622</v>
      </c>
      <c r="M41" s="66">
        <f>Estimates!M63</f>
        <v>2191.3361762755476</v>
      </c>
      <c r="N41" s="66">
        <f>Estimates!N63</f>
        <v>2339.1334530207605</v>
      </c>
      <c r="O41" s="67">
        <f>Estimates!O63</f>
        <v>2448.5266281273966</v>
      </c>
    </row>
    <row r="42" spans="1:15" x14ac:dyDescent="0.2">
      <c r="A42" s="28" t="s">
        <v>3</v>
      </c>
      <c r="B42" s="29"/>
      <c r="C42" s="29"/>
      <c r="D42" s="30">
        <f>(D41/C41)-1</f>
        <v>-1.0146240081977953E-2</v>
      </c>
      <c r="E42" s="30">
        <f>(E41/D41)-1</f>
        <v>-5.677365265095613E-2</v>
      </c>
      <c r="F42" s="68">
        <f t="shared" ref="F42:O42" si="13">(F41/E41)-1</f>
        <v>0.28143837344929379</v>
      </c>
      <c r="G42" s="30">
        <f t="shared" si="13"/>
        <v>0.38453999303775821</v>
      </c>
      <c r="H42" s="30">
        <f t="shared" si="13"/>
        <v>0.3666585993936724</v>
      </c>
      <c r="I42" s="30">
        <f t="shared" si="13"/>
        <v>0.15534277822741727</v>
      </c>
      <c r="J42" s="30">
        <f t="shared" si="13"/>
        <v>0.12694839524260448</v>
      </c>
      <c r="K42" s="30">
        <f t="shared" si="13"/>
        <v>0.11736499276284751</v>
      </c>
      <c r="L42" s="30">
        <f t="shared" si="13"/>
        <v>0.10444105537405846</v>
      </c>
      <c r="M42" s="30">
        <f t="shared" si="13"/>
        <v>8.6841255108293103E-2</v>
      </c>
      <c r="N42" s="30">
        <f t="shared" si="13"/>
        <v>6.7446190294915498E-2</v>
      </c>
      <c r="O42" s="31">
        <f t="shared" si="13"/>
        <v>4.6766538679255509E-2</v>
      </c>
    </row>
    <row r="43" spans="1:15" x14ac:dyDescent="0.2">
      <c r="A43" s="24" t="s">
        <v>2</v>
      </c>
      <c r="B43" s="25"/>
      <c r="C43" s="26">
        <f t="shared" ref="C43:O43" si="14">C41/C$17</f>
        <v>0.11774229728053345</v>
      </c>
      <c r="D43" s="26">
        <f t="shared" si="14"/>
        <v>9.4433586942771375E-2</v>
      </c>
      <c r="E43" s="26">
        <f t="shared" si="14"/>
        <v>7.270396748832321E-2</v>
      </c>
      <c r="F43" s="57">
        <f t="shared" si="14"/>
        <v>6.2859714410187534E-2</v>
      </c>
      <c r="G43" s="26">
        <f t="shared" si="14"/>
        <v>6.6404306331406843E-2</v>
      </c>
      <c r="H43" s="26">
        <f t="shared" si="14"/>
        <v>7.3419196161294595E-2</v>
      </c>
      <c r="I43" s="26">
        <f t="shared" si="14"/>
        <v>7.1474462173300585E-2</v>
      </c>
      <c r="J43" s="26">
        <f t="shared" si="14"/>
        <v>6.9618083912011811E-2</v>
      </c>
      <c r="K43" s="26">
        <f t="shared" si="14"/>
        <v>6.8681276342220224E-2</v>
      </c>
      <c r="L43" s="26">
        <f t="shared" si="14"/>
        <v>6.8490465879427628E-2</v>
      </c>
      <c r="M43" s="26">
        <f t="shared" si="14"/>
        <v>6.8800351098888074E-2</v>
      </c>
      <c r="N43" s="26">
        <f t="shared" si="14"/>
        <v>6.9542201307386475E-2</v>
      </c>
      <c r="O43" s="61">
        <f t="shared" si="14"/>
        <v>7.0674222674435863E-2</v>
      </c>
    </row>
    <row r="44" spans="1:15" x14ac:dyDescent="0.2">
      <c r="E44" s="48"/>
    </row>
    <row r="45" spans="1:15" x14ac:dyDescent="0.2">
      <c r="A45" s="12" t="s">
        <v>160</v>
      </c>
      <c r="B45" s="12"/>
      <c r="C45" s="13">
        <v>2024</v>
      </c>
      <c r="D45" s="13">
        <v>2025</v>
      </c>
      <c r="E45" s="47">
        <v>2026</v>
      </c>
      <c r="F45" s="14">
        <f t="shared" ref="F45" si="15">E45+1</f>
        <v>2027</v>
      </c>
      <c r="G45" s="14">
        <f t="shared" ref="G45" si="16">F45+1</f>
        <v>2028</v>
      </c>
      <c r="H45" s="14">
        <f t="shared" ref="H45" si="17">G45+1</f>
        <v>2029</v>
      </c>
      <c r="I45" s="14">
        <f t="shared" ref="I45" si="18">H45+1</f>
        <v>2030</v>
      </c>
      <c r="J45" s="14">
        <f t="shared" ref="J45" si="19">I45+1</f>
        <v>2031</v>
      </c>
      <c r="K45" s="14">
        <f t="shared" ref="K45" si="20">J45+1</f>
        <v>2032</v>
      </c>
      <c r="L45" s="14">
        <f t="shared" ref="L45" si="21">K45+1</f>
        <v>2033</v>
      </c>
      <c r="M45" s="14">
        <f t="shared" ref="M45" si="22">L45+1</f>
        <v>2034</v>
      </c>
      <c r="N45" s="14">
        <f t="shared" ref="N45" si="23">M45+1</f>
        <v>2035</v>
      </c>
      <c r="O45" s="14">
        <f t="shared" ref="O45" si="24">N45+1</f>
        <v>2036</v>
      </c>
    </row>
    <row r="46" spans="1:15" x14ac:dyDescent="0.2">
      <c r="E46" s="48"/>
    </row>
    <row r="47" spans="1:15" x14ac:dyDescent="0.2">
      <c r="A47" s="21" t="s">
        <v>159</v>
      </c>
      <c r="B47" s="22"/>
      <c r="C47" s="35">
        <v>-346.81599999999997</v>
      </c>
      <c r="D47" s="35">
        <v>-440.83600000000001</v>
      </c>
      <c r="E47" s="81">
        <v>-1102.9090000000001</v>
      </c>
      <c r="F47" s="71">
        <f>Estimates!F45</f>
        <v>-2637.5</v>
      </c>
      <c r="G47" s="66">
        <f>Estimates!G45</f>
        <v>-3180.2551157913313</v>
      </c>
      <c r="H47" s="66">
        <f>Estimates!H45</f>
        <v>-2552.2826149770726</v>
      </c>
      <c r="I47" s="66">
        <f>Estimates!I45</f>
        <v>-2717.9909969708101</v>
      </c>
      <c r="J47" s="66">
        <f>Estimates!J45</f>
        <v>-2909.866389984365</v>
      </c>
      <c r="K47" s="66">
        <f>Estimates!K45</f>
        <v>-3070.4522441259342</v>
      </c>
      <c r="L47" s="66">
        <f>Estimates!L45</f>
        <v>-3140.0843139068234</v>
      </c>
      <c r="M47" s="66">
        <f>Estimates!M45</f>
        <v>-3103.0236798836409</v>
      </c>
      <c r="N47" s="66">
        <f>Estimates!N45</f>
        <v>-2952.3291899316614</v>
      </c>
      <c r="O47" s="67">
        <f>Estimates!O45</f>
        <v>-2878.4087918831242</v>
      </c>
    </row>
    <row r="48" spans="1:15" x14ac:dyDescent="0.2">
      <c r="A48" s="28" t="s">
        <v>3</v>
      </c>
      <c r="B48" s="29"/>
      <c r="C48" s="29"/>
      <c r="D48" s="30">
        <f>(D47/C47)-1</f>
        <v>0.27109475918066073</v>
      </c>
      <c r="E48" s="53">
        <f>(E47/D47)-1</f>
        <v>1.5018578337522346</v>
      </c>
      <c r="F48" s="68">
        <f>(F47/E47)-1</f>
        <v>1.3914030985330608</v>
      </c>
      <c r="G48" s="30">
        <f>(G47/F47)-1</f>
        <v>0.20578393015785079</v>
      </c>
      <c r="H48" s="30">
        <f t="shared" ref="H48:O48" si="25">(H47/G47)-1</f>
        <v>-0.19745978795729491</v>
      </c>
      <c r="I48" s="30">
        <f t="shared" si="25"/>
        <v>6.492556154296647E-2</v>
      </c>
      <c r="J48" s="30">
        <f t="shared" si="25"/>
        <v>7.0594565334248349E-2</v>
      </c>
      <c r="K48" s="30">
        <f t="shared" si="25"/>
        <v>5.518667616296713E-2</v>
      </c>
      <c r="L48" s="30">
        <f t="shared" si="25"/>
        <v>2.2678115223613071E-2</v>
      </c>
      <c r="M48" s="30">
        <f t="shared" si="25"/>
        <v>-1.1802432775148142E-2</v>
      </c>
      <c r="N48" s="30">
        <f t="shared" si="25"/>
        <v>-4.8563757643522165E-2</v>
      </c>
      <c r="O48" s="31">
        <f t="shared" si="25"/>
        <v>-2.5037993154905736E-2</v>
      </c>
    </row>
    <row r="49" spans="1:15" x14ac:dyDescent="0.2">
      <c r="A49" s="24" t="s">
        <v>2</v>
      </c>
      <c r="B49" s="25"/>
      <c r="C49" s="25">
        <f>-C47/C$17</f>
        <v>7.3670132770056129E-2</v>
      </c>
      <c r="D49" s="25">
        <f>-D47/D$17</f>
        <v>7.5873885456656201E-2</v>
      </c>
      <c r="E49" s="54">
        <f>-E47/E$17</f>
        <v>0.15494253377372677</v>
      </c>
      <c r="F49" s="26">
        <f>Estimates!F46</f>
        <v>0.25</v>
      </c>
      <c r="G49" s="26">
        <f>Estimates!G46</f>
        <v>0.23</v>
      </c>
      <c r="H49" s="26">
        <f>Estimates!H46</f>
        <v>0.14933031489040458</v>
      </c>
      <c r="I49" s="26">
        <f>Estimates!I46</f>
        <v>0.13399779419246755</v>
      </c>
      <c r="J49" s="26">
        <f>Estimates!J46</f>
        <v>0.12399090338898017</v>
      </c>
      <c r="K49" s="26">
        <f>Estimates!K46</f>
        <v>0.11551552426311247</v>
      </c>
      <c r="L49" s="26">
        <f>Estimates!L46</f>
        <v>0.10666662073825507</v>
      </c>
      <c r="M49" s="26">
        <f>Estimates!M46</f>
        <v>9.7424174782259954E-2</v>
      </c>
      <c r="N49" s="26">
        <f>Estimates!N46</f>
        <v>8.7772448633386554E-2</v>
      </c>
      <c r="O49" s="61">
        <f>Estimates!O46</f>
        <v>8.3082332684771359E-2</v>
      </c>
    </row>
    <row r="50" spans="1:15" x14ac:dyDescent="0.2">
      <c r="E50" s="48"/>
    </row>
    <row r="51" spans="1:15" x14ac:dyDescent="0.2">
      <c r="A51" s="12" t="s">
        <v>161</v>
      </c>
      <c r="B51" s="12"/>
      <c r="C51" s="13">
        <v>2024</v>
      </c>
      <c r="D51" s="13">
        <v>2025</v>
      </c>
      <c r="E51" s="47">
        <v>2026</v>
      </c>
      <c r="F51" s="14">
        <f t="shared" ref="F51" si="26">E51+1</f>
        <v>2027</v>
      </c>
      <c r="G51" s="14">
        <f t="shared" ref="G51" si="27">F51+1</f>
        <v>2028</v>
      </c>
      <c r="H51" s="14">
        <f t="shared" ref="H51" si="28">G51+1</f>
        <v>2029</v>
      </c>
      <c r="I51" s="14">
        <f t="shared" ref="I51" si="29">H51+1</f>
        <v>2030</v>
      </c>
      <c r="J51" s="14">
        <f t="shared" ref="J51" si="30">I51+1</f>
        <v>2031</v>
      </c>
      <c r="K51" s="14">
        <f t="shared" ref="K51" si="31">J51+1</f>
        <v>2032</v>
      </c>
      <c r="L51" s="14">
        <f t="shared" ref="L51" si="32">K51+1</f>
        <v>2033</v>
      </c>
      <c r="M51" s="14">
        <f t="shared" ref="M51" si="33">L51+1</f>
        <v>2034</v>
      </c>
      <c r="N51" s="14">
        <f t="shared" ref="N51" si="34">M51+1</f>
        <v>2035</v>
      </c>
      <c r="O51" s="14">
        <f t="shared" ref="O51" si="35">N51+1</f>
        <v>2036</v>
      </c>
    </row>
    <row r="52" spans="1:15" x14ac:dyDescent="0.2">
      <c r="E52" s="48"/>
    </row>
    <row r="53" spans="1:15" x14ac:dyDescent="0.2">
      <c r="A53" t="s">
        <v>210</v>
      </c>
      <c r="C53" s="39">
        <f>Estimates!C85</f>
        <v>1448.723</v>
      </c>
      <c r="D53" s="39">
        <f>Estimates!D85</f>
        <v>1579.2319999999993</v>
      </c>
      <c r="E53" s="82">
        <f>Estimates!E85</f>
        <v>2584.8180000000002</v>
      </c>
      <c r="F53" s="80">
        <f>Estimates!F85</f>
        <v>3049.0945205479456</v>
      </c>
      <c r="G53" s="80">
        <f>Estimates!G85</f>
        <v>3973.8982923944091</v>
      </c>
      <c r="H53" s="80">
        <f>Estimates!H85</f>
        <v>4884.4296887071578</v>
      </c>
      <c r="I53" s="80">
        <f>Estimates!I85</f>
        <v>5763.947390588648</v>
      </c>
      <c r="J53" s="80">
        <f>Estimates!J85</f>
        <v>6630.9442615581465</v>
      </c>
      <c r="K53" s="80">
        <f>Estimates!K85</f>
        <v>7467.2801006938689</v>
      </c>
      <c r="L53" s="80">
        <f>Estimates!L85</f>
        <v>8222.5616518345159</v>
      </c>
      <c r="M53" s="80">
        <f>Estimates!M85</f>
        <v>8896.3675968481457</v>
      </c>
      <c r="N53" s="80">
        <f>Estimates!N85</f>
        <v>9395.0897205164729</v>
      </c>
      <c r="O53" s="80">
        <f>Estimates!O85</f>
        <v>9676.942412131968</v>
      </c>
    </row>
    <row r="54" spans="1:15" x14ac:dyDescent="0.2">
      <c r="E54" s="83"/>
    </row>
    <row r="55" spans="1:15" x14ac:dyDescent="0.2">
      <c r="A55" s="21" t="s">
        <v>161</v>
      </c>
      <c r="B55" s="22"/>
      <c r="C55" s="36"/>
      <c r="D55" s="36">
        <f>D53-C53</f>
        <v>130.50899999999933</v>
      </c>
      <c r="E55" s="36">
        <f>E53-D53</f>
        <v>1005.5860000000009</v>
      </c>
      <c r="F55" s="84">
        <f t="shared" ref="F55:O55" si="36">F53-E53</f>
        <v>464.27652054794544</v>
      </c>
      <c r="G55" s="36">
        <f t="shared" si="36"/>
        <v>924.80377184646341</v>
      </c>
      <c r="H55" s="36">
        <f t="shared" si="36"/>
        <v>910.53139631274871</v>
      </c>
      <c r="I55" s="36">
        <f t="shared" si="36"/>
        <v>879.51770188149021</v>
      </c>
      <c r="J55" s="36">
        <f t="shared" si="36"/>
        <v>866.99687096949856</v>
      </c>
      <c r="K55" s="36">
        <f t="shared" si="36"/>
        <v>836.33583913572238</v>
      </c>
      <c r="L55" s="36">
        <f t="shared" si="36"/>
        <v>755.28155114064703</v>
      </c>
      <c r="M55" s="36">
        <f t="shared" si="36"/>
        <v>673.80594501362975</v>
      </c>
      <c r="N55" s="36">
        <f t="shared" si="36"/>
        <v>498.72212366832719</v>
      </c>
      <c r="O55" s="86">
        <f t="shared" si="36"/>
        <v>281.85269161549513</v>
      </c>
    </row>
    <row r="56" spans="1:15" x14ac:dyDescent="0.2">
      <c r="A56" s="28" t="s">
        <v>3</v>
      </c>
      <c r="B56" s="29"/>
      <c r="C56" s="29"/>
      <c r="D56" s="30"/>
      <c r="E56" s="30">
        <f>(E55/D55)-1</f>
        <v>6.7051084599530002</v>
      </c>
      <c r="F56" s="68">
        <f t="shared" ref="F56:O56" si="37">(F55/E55)-1</f>
        <v>-0.53830252156658398</v>
      </c>
      <c r="G56" s="30">
        <f t="shared" si="37"/>
        <v>0.99192449093699042</v>
      </c>
      <c r="H56" s="30">
        <f t="shared" si="37"/>
        <v>-1.5432869077965039E-2</v>
      </c>
      <c r="I56" s="30">
        <f t="shared" si="37"/>
        <v>-3.4061092848473251E-2</v>
      </c>
      <c r="J56" s="30">
        <f t="shared" si="37"/>
        <v>-1.4236019224180163E-2</v>
      </c>
      <c r="K56" s="30">
        <f t="shared" si="37"/>
        <v>-3.5364639551109578E-2</v>
      </c>
      <c r="L56" s="30">
        <f t="shared" si="37"/>
        <v>-9.6915956727189445E-2</v>
      </c>
      <c r="M56" s="30">
        <f t="shared" si="37"/>
        <v>-0.10787448204443839</v>
      </c>
      <c r="N56" s="30">
        <f t="shared" si="37"/>
        <v>-0.25984309375863546</v>
      </c>
      <c r="O56" s="53">
        <f t="shared" si="37"/>
        <v>-0.43485023374872389</v>
      </c>
    </row>
    <row r="57" spans="1:15" x14ac:dyDescent="0.2">
      <c r="A57" s="24" t="s">
        <v>2</v>
      </c>
      <c r="B57" s="25"/>
      <c r="C57" s="25"/>
      <c r="D57" s="25">
        <f t="shared" ref="D57:O57" si="38">D55/D$17</f>
        <v>2.2462378111276514E-2</v>
      </c>
      <c r="E57" s="25">
        <f t="shared" si="38"/>
        <v>0.14127008009490077</v>
      </c>
      <c r="F57" s="85">
        <f t="shared" si="38"/>
        <v>4.4007253132506675E-2</v>
      </c>
      <c r="G57" s="25">
        <f t="shared" si="38"/>
        <v>6.6882957429583445E-2</v>
      </c>
      <c r="H57" s="25">
        <f t="shared" si="38"/>
        <v>5.3273857421233882E-2</v>
      </c>
      <c r="I57" s="25">
        <f t="shared" si="38"/>
        <v>4.3360493885629174E-2</v>
      </c>
      <c r="J57" s="25">
        <f t="shared" si="38"/>
        <v>3.6943182558806353E-2</v>
      </c>
      <c r="K57" s="25">
        <f t="shared" si="38"/>
        <v>3.1464346368720343E-2</v>
      </c>
      <c r="L57" s="25">
        <f t="shared" si="38"/>
        <v>2.5656422793910682E-2</v>
      </c>
      <c r="M57" s="25">
        <f t="shared" si="38"/>
        <v>2.1155168290174088E-2</v>
      </c>
      <c r="N57" s="25">
        <f t="shared" si="38"/>
        <v>1.4826958366057059E-2</v>
      </c>
      <c r="O57" s="54">
        <f t="shared" si="38"/>
        <v>8.1353903444607266E-3</v>
      </c>
    </row>
  </sheetData>
  <pageMargins left="0.7" right="0.7" top="0.75" bottom="0.75" header="0.3" footer="0.3"/>
  <legacy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A35247-FF6A-134A-80BF-876311622E77}">
  <dimension ref="A2:H36"/>
  <sheetViews>
    <sheetView showGridLines="0" topLeftCell="A19" zoomScale="130" zoomScaleNormal="130" workbookViewId="0">
      <selection activeCell="C36" sqref="C36"/>
    </sheetView>
  </sheetViews>
  <sheetFormatPr baseColWidth="10" defaultRowHeight="15" x14ac:dyDescent="0.2"/>
  <cols>
    <col min="1" max="1" width="17.33203125" bestFit="1" customWidth="1"/>
    <col min="7" max="7" width="12.5" bestFit="1" customWidth="1"/>
  </cols>
  <sheetData>
    <row r="2" spans="1:5" x14ac:dyDescent="0.2">
      <c r="A2" s="12" t="s">
        <v>162</v>
      </c>
      <c r="B2" s="37"/>
      <c r="C2" s="37"/>
      <c r="D2" s="37"/>
      <c r="E2" s="38"/>
    </row>
    <row r="3" spans="1:5" x14ac:dyDescent="0.2">
      <c r="E3" s="38"/>
    </row>
    <row r="4" spans="1:5" x14ac:dyDescent="0.2">
      <c r="A4" t="s">
        <v>163</v>
      </c>
      <c r="C4" s="38"/>
      <c r="D4" s="41">
        <v>57770.59</v>
      </c>
      <c r="E4" s="38"/>
    </row>
    <row r="5" spans="1:5" x14ac:dyDescent="0.2">
      <c r="A5" t="s">
        <v>164</v>
      </c>
      <c r="C5" s="38"/>
      <c r="D5" s="40">
        <f>D4/(D11+D4)</f>
        <v>0.94717043224141118</v>
      </c>
      <c r="E5" s="38"/>
    </row>
    <row r="6" spans="1:5" x14ac:dyDescent="0.2">
      <c r="A6" t="s">
        <v>165</v>
      </c>
      <c r="C6" s="38"/>
      <c r="D6" s="40">
        <f>D7+(D8*D9)</f>
        <v>0.12201355947605025</v>
      </c>
      <c r="E6" s="38"/>
    </row>
    <row r="7" spans="1:5" x14ac:dyDescent="0.2">
      <c r="A7" t="s">
        <v>166</v>
      </c>
      <c r="C7" s="38"/>
      <c r="D7" s="43">
        <v>4.6800000000000001E-2</v>
      </c>
      <c r="E7" s="38"/>
    </row>
    <row r="8" spans="1:5" x14ac:dyDescent="0.2">
      <c r="A8" t="s">
        <v>167</v>
      </c>
      <c r="C8" s="38"/>
      <c r="D8" s="39">
        <f>C30</f>
        <v>1.7016642415395982</v>
      </c>
      <c r="E8" s="38"/>
    </row>
    <row r="9" spans="1:5" x14ac:dyDescent="0.2">
      <c r="A9" t="s">
        <v>168</v>
      </c>
      <c r="C9" s="38"/>
      <c r="D9" s="43">
        <v>4.4200000000000003E-2</v>
      </c>
      <c r="E9" s="38"/>
    </row>
    <row r="10" spans="1:5" x14ac:dyDescent="0.2">
      <c r="C10" s="38"/>
      <c r="E10" s="38"/>
    </row>
    <row r="11" spans="1:5" x14ac:dyDescent="0.2">
      <c r="A11" t="s">
        <v>169</v>
      </c>
      <c r="C11" s="38"/>
      <c r="D11" s="39">
        <f>'Consolidated Balance Sheet'!C30+'Consolidated Balance Sheet'!C23</f>
        <v>3222.2240000000002</v>
      </c>
      <c r="E11" s="38"/>
    </row>
    <row r="12" spans="1:5" x14ac:dyDescent="0.2">
      <c r="A12" t="s">
        <v>170</v>
      </c>
      <c r="C12" s="38"/>
      <c r="D12" s="40">
        <f>D11/(D4+D11)</f>
        <v>5.2829567758588748E-2</v>
      </c>
      <c r="E12" s="38"/>
    </row>
    <row r="13" spans="1:5" x14ac:dyDescent="0.2">
      <c r="A13" t="s">
        <v>171</v>
      </c>
      <c r="C13" s="38"/>
      <c r="D13" s="40">
        <f>D7+D14</f>
        <v>6.5200000000000008E-2</v>
      </c>
      <c r="E13" s="38"/>
    </row>
    <row r="14" spans="1:5" x14ac:dyDescent="0.2">
      <c r="A14" t="s">
        <v>284</v>
      </c>
      <c r="D14" s="43">
        <v>1.84E-2</v>
      </c>
      <c r="E14" s="38"/>
    </row>
    <row r="15" spans="1:5" x14ac:dyDescent="0.2">
      <c r="A15" t="s">
        <v>172</v>
      </c>
      <c r="C15" s="38"/>
      <c r="D15" s="43">
        <v>0.21</v>
      </c>
    </row>
    <row r="17" spans="1:8" x14ac:dyDescent="0.2">
      <c r="A17" s="42" t="s">
        <v>162</v>
      </c>
      <c r="D17" s="29">
        <f>(D5*D6)+((D12*D13)*(1-D15))</f>
        <v>0.11828878124435303</v>
      </c>
    </row>
    <row r="21" spans="1:8" x14ac:dyDescent="0.2">
      <c r="A21" s="12" t="s">
        <v>173</v>
      </c>
      <c r="B21" s="37"/>
      <c r="C21" s="37"/>
      <c r="D21" s="37"/>
      <c r="E21" s="37"/>
      <c r="F21" s="37"/>
      <c r="G21" s="37"/>
    </row>
    <row r="23" spans="1:8" x14ac:dyDescent="0.2">
      <c r="B23" s="42" t="s">
        <v>174</v>
      </c>
      <c r="C23" s="42" t="s">
        <v>163</v>
      </c>
      <c r="D23" s="42" t="s">
        <v>169</v>
      </c>
      <c r="E23" s="42" t="s">
        <v>175</v>
      </c>
      <c r="F23" s="42"/>
      <c r="G23" s="42" t="s">
        <v>176</v>
      </c>
    </row>
    <row r="24" spans="1:8" x14ac:dyDescent="0.2"/>
    <row r="25" spans="1:8" x14ac:dyDescent="0.2">
      <c r="A25" t="s">
        <v>177</v>
      </c>
      <c r="B25" s="41">
        <v>1.9</v>
      </c>
      <c r="C25" s="41">
        <v>86936.960000000006</v>
      </c>
      <c r="D25" s="41">
        <v>1461.8</v>
      </c>
      <c r="E25" s="43">
        <v>0.21</v>
      </c>
      <c r="G25" s="39">
        <f>B25/(1+(1-E25)*(D25/C25))</f>
        <v>1.8750923213245927</v>
      </c>
    </row>
    <row r="26" spans="1:8" x14ac:dyDescent="0.2">
      <c r="A26" t="s">
        <v>178</v>
      </c>
      <c r="B26" s="41">
        <v>1.62</v>
      </c>
      <c r="C26" s="41">
        <v>16521.93</v>
      </c>
      <c r="D26" s="41">
        <f>26.32+12.44</f>
        <v>38.76</v>
      </c>
      <c r="E26" s="43">
        <v>0.21</v>
      </c>
      <c r="G26" s="39">
        <f t="shared" ref="G26:G27" si="0">B26/(1+(1-E26)*(D26/C26))</f>
        <v>1.617003177951357</v>
      </c>
    </row>
    <row r="27" spans="1:8" x14ac:dyDescent="0.2">
      <c r="A27" t="s">
        <v>179</v>
      </c>
      <c r="B27" s="41">
        <v>1.42</v>
      </c>
      <c r="C27" s="41">
        <v>57716.12</v>
      </c>
      <c r="D27" s="41">
        <f>1021.1+157.9</f>
        <v>1179</v>
      </c>
      <c r="E27" s="43">
        <v>0.21</v>
      </c>
      <c r="G27" s="39">
        <f t="shared" si="0"/>
        <v>1.3974482881035228</v>
      </c>
    </row>
    <row r="29" spans="1:8" x14ac:dyDescent="0.2">
      <c r="A29" t="s">
        <v>180</v>
      </c>
      <c r="C29" s="39">
        <f>AVERAGE(G25:G27)</f>
        <v>1.6298479291264909</v>
      </c>
    </row>
    <row r="30" spans="1:8" x14ac:dyDescent="0.2">
      <c r="A30" s="42" t="s">
        <v>174</v>
      </c>
      <c r="C30" s="44">
        <f>C29*(1+(1-D15)*(D11/D4))</f>
        <v>1.7016642415395982</v>
      </c>
    </row>
    <row r="34" spans="1:3" x14ac:dyDescent="0.2">
      <c r="A34" s="42" t="s">
        <v>283</v>
      </c>
      <c r="B34" s="42"/>
      <c r="C34" s="102">
        <v>1.1499999999999999</v>
      </c>
    </row>
    <row r="35" spans="1:3" x14ac:dyDescent="0.2">
      <c r="A35" s="42" t="s">
        <v>250</v>
      </c>
      <c r="B35" s="42"/>
      <c r="C35" s="29">
        <f>D7+C34*D9</f>
        <v>9.7629999999999995E-2</v>
      </c>
    </row>
    <row r="36" spans="1:3" x14ac:dyDescent="0.2">
      <c r="A36" s="42" t="s">
        <v>251</v>
      </c>
      <c r="B36" s="42"/>
      <c r="C36" s="29">
        <f>(D5*C35)+((D12*D13)*(1-D15))</f>
        <v>9.5193394675838358E-2</v>
      </c>
    </row>
  </sheetData>
  <pageMargins left="0.7" right="0.7" top="0.75" bottom="0.75" header="0.3" footer="0.3"/>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53496D-C4D0-BF4F-A5F5-5A11BF565B10}">
  <dimension ref="A2:P86"/>
  <sheetViews>
    <sheetView showGridLines="0" tabSelected="1" topLeftCell="A44" zoomScale="120" zoomScaleNormal="120" workbookViewId="0">
      <selection activeCell="L64" sqref="L64"/>
    </sheetView>
  </sheetViews>
  <sheetFormatPr baseColWidth="10" defaultRowHeight="15" x14ac:dyDescent="0.2"/>
  <cols>
    <col min="2" max="2" width="17.83203125" customWidth="1"/>
    <col min="11" max="11" width="12" bestFit="1" customWidth="1"/>
  </cols>
  <sheetData>
    <row r="2" spans="1:11" x14ac:dyDescent="0.2">
      <c r="A2" s="12" t="s">
        <v>182</v>
      </c>
      <c r="B2" s="12"/>
      <c r="C2" s="12" t="s">
        <v>194</v>
      </c>
      <c r="D2" s="12" t="s">
        <v>195</v>
      </c>
      <c r="E2" s="12" t="s">
        <v>196</v>
      </c>
      <c r="F2" s="12" t="s">
        <v>197</v>
      </c>
      <c r="G2" s="12" t="s">
        <v>185</v>
      </c>
      <c r="H2" s="12" t="s">
        <v>186</v>
      </c>
      <c r="I2" s="12" t="s">
        <v>187</v>
      </c>
      <c r="J2" s="12" t="s">
        <v>188</v>
      </c>
      <c r="K2" s="12" t="s">
        <v>189</v>
      </c>
    </row>
    <row r="3" spans="1:11" x14ac:dyDescent="0.2">
      <c r="K3" s="42"/>
    </row>
    <row r="4" spans="1:11" x14ac:dyDescent="0.2">
      <c r="A4" s="42" t="s">
        <v>192</v>
      </c>
    </row>
    <row r="6" spans="1:11" x14ac:dyDescent="0.2">
      <c r="A6" t="s">
        <v>193</v>
      </c>
      <c r="J6" s="39">
        <f>3000*'Operating model'!F11</f>
        <v>2491.4941876777248</v>
      </c>
    </row>
    <row r="7" spans="1:11" x14ac:dyDescent="0.2">
      <c r="A7" t="s">
        <v>183</v>
      </c>
      <c r="C7" s="43">
        <v>0.08</v>
      </c>
      <c r="D7" s="43">
        <v>7.0000000000000007E-2</v>
      </c>
      <c r="E7" s="43">
        <v>7.0000000000000007E-2</v>
      </c>
      <c r="F7" s="43">
        <v>6.5000000000000002E-2</v>
      </c>
      <c r="G7" s="39">
        <f>$J$6*(1+C7+Scenarios!$E$9)</f>
        <v>2690.813722691943</v>
      </c>
      <c r="H7" s="39">
        <f>G7*(1+D7+Scenarios!$E$9)</f>
        <v>2879.1706832803793</v>
      </c>
      <c r="I7" s="39">
        <f>H7*(1+E7+Scenarios!$E$9)</f>
        <v>3080.712631110006</v>
      </c>
      <c r="J7" s="39">
        <f>I7*(1+F7+Scenarios!$E$9)</f>
        <v>3280.9589521321564</v>
      </c>
      <c r="K7" s="29">
        <f>(SUM(G7:J7)/'Operating model'!F9)-1</f>
        <v>0.36178843033175356</v>
      </c>
    </row>
    <row r="8" spans="1:11" x14ac:dyDescent="0.2">
      <c r="A8" t="s">
        <v>184</v>
      </c>
      <c r="C8" s="43">
        <v>0.06</v>
      </c>
      <c r="D8" s="43">
        <v>5.5E-2</v>
      </c>
      <c r="E8" s="43">
        <v>5.5E-2</v>
      </c>
      <c r="F8" s="43">
        <v>0.05</v>
      </c>
      <c r="G8" s="39">
        <f>$J$7*(1+C8+Scenarios!$E$9)</f>
        <v>3477.8164892600857</v>
      </c>
      <c r="H8" s="39">
        <f>G8*(1+D8+Scenarios!$E$9)</f>
        <v>3669.0963961693901</v>
      </c>
      <c r="I8" s="39">
        <f>H8*(1+E8+Scenarios!$E$9)</f>
        <v>3870.8966979587062</v>
      </c>
      <c r="J8" s="39">
        <f>I8*(1+F8+Scenarios!$E$9)</f>
        <v>4064.4415328566415</v>
      </c>
      <c r="K8" s="29">
        <f>(SUM(G8:J8)/'Operating model'!G9)-1</f>
        <v>0.26405346666701535</v>
      </c>
    </row>
    <row r="9" spans="1:11" x14ac:dyDescent="0.2">
      <c r="A9" t="s">
        <v>190</v>
      </c>
      <c r="C9" s="40"/>
      <c r="D9" s="40"/>
      <c r="E9" s="40"/>
      <c r="F9" s="40"/>
      <c r="K9" s="29">
        <f>Scenarios!$E$10</f>
        <v>0.20499999999999999</v>
      </c>
    </row>
    <row r="10" spans="1:11" x14ac:dyDescent="0.2">
      <c r="A10" t="s">
        <v>191</v>
      </c>
      <c r="C10" s="40"/>
      <c r="D10" s="40"/>
      <c r="E10" s="40"/>
      <c r="F10" s="40"/>
      <c r="K10" s="29">
        <f>Scenarios!$E$11</f>
        <v>0.17</v>
      </c>
    </row>
    <row r="12" spans="1:11" x14ac:dyDescent="0.2">
      <c r="A12" s="42" t="s">
        <v>4</v>
      </c>
    </row>
    <row r="14" spans="1:11" x14ac:dyDescent="0.2">
      <c r="A14" t="s">
        <v>198</v>
      </c>
      <c r="J14" s="62"/>
    </row>
    <row r="15" spans="1:11" x14ac:dyDescent="0.2">
      <c r="A15" t="s">
        <v>183</v>
      </c>
      <c r="C15" s="43"/>
      <c r="D15" s="43"/>
      <c r="E15" s="43"/>
      <c r="F15" s="43"/>
      <c r="G15" s="39"/>
      <c r="H15" s="39"/>
      <c r="I15" s="39"/>
      <c r="J15" s="39"/>
      <c r="K15" s="63">
        <v>0.06</v>
      </c>
    </row>
    <row r="16" spans="1:11" x14ac:dyDescent="0.2">
      <c r="A16" t="s">
        <v>184</v>
      </c>
      <c r="C16" s="43"/>
      <c r="D16" s="43"/>
      <c r="E16" s="43"/>
      <c r="F16" s="43"/>
      <c r="G16" s="39"/>
      <c r="H16" s="39"/>
      <c r="I16" s="39"/>
      <c r="J16" s="39"/>
      <c r="K16" s="63">
        <v>0.06</v>
      </c>
    </row>
    <row r="17" spans="1:16" x14ac:dyDescent="0.2">
      <c r="A17" t="s">
        <v>190</v>
      </c>
      <c r="C17" s="40"/>
      <c r="D17" s="40"/>
      <c r="E17" s="40"/>
      <c r="F17" s="40"/>
      <c r="K17" s="63">
        <v>0.05</v>
      </c>
    </row>
    <row r="18" spans="1:16" x14ac:dyDescent="0.2">
      <c r="A18" t="s">
        <v>191</v>
      </c>
      <c r="C18" s="40"/>
      <c r="D18" s="40"/>
      <c r="E18" s="40"/>
      <c r="F18" s="40"/>
      <c r="K18" s="63">
        <v>4.4999999999999998E-2</v>
      </c>
    </row>
    <row r="20" spans="1:16" x14ac:dyDescent="0.2">
      <c r="A20" s="42"/>
      <c r="J20" s="62"/>
    </row>
    <row r="21" spans="1:16" x14ac:dyDescent="0.2">
      <c r="A21" s="12" t="s">
        <v>151</v>
      </c>
      <c r="B21" s="13"/>
      <c r="C21" s="13">
        <v>2024</v>
      </c>
      <c r="D21" s="13">
        <v>2025</v>
      </c>
      <c r="E21" s="13">
        <v>2026</v>
      </c>
      <c r="F21" s="14">
        <f t="shared" ref="F21:O21" si="0">E21+1</f>
        <v>2027</v>
      </c>
      <c r="G21" s="14">
        <f t="shared" si="0"/>
        <v>2028</v>
      </c>
      <c r="H21" s="14">
        <f t="shared" si="0"/>
        <v>2029</v>
      </c>
      <c r="I21" s="14">
        <f t="shared" si="0"/>
        <v>2030</v>
      </c>
      <c r="J21" s="14">
        <f t="shared" si="0"/>
        <v>2031</v>
      </c>
      <c r="K21" s="14">
        <f t="shared" si="0"/>
        <v>2032</v>
      </c>
      <c r="L21" s="14">
        <f t="shared" si="0"/>
        <v>2033</v>
      </c>
      <c r="M21" s="14">
        <f t="shared" si="0"/>
        <v>2034</v>
      </c>
      <c r="N21" s="14">
        <f t="shared" si="0"/>
        <v>2035</v>
      </c>
      <c r="O21" s="14">
        <f t="shared" si="0"/>
        <v>2036</v>
      </c>
    </row>
    <row r="23" spans="1:16" x14ac:dyDescent="0.2">
      <c r="A23" t="s">
        <v>0</v>
      </c>
      <c r="C23" s="64" cm="1">
        <f t="array" ref="C23:E23">'Consolidated Income Stmt'!B4:D4</f>
        <v>4707.6880000000001</v>
      </c>
      <c r="D23" s="64">
        <v>5810.1149999999998</v>
      </c>
      <c r="E23" s="64">
        <v>7118.1809999999996</v>
      </c>
      <c r="F23" s="39"/>
      <c r="G23" s="39"/>
      <c r="H23" s="39"/>
      <c r="I23" s="39"/>
      <c r="J23" s="39"/>
      <c r="K23" s="39"/>
      <c r="L23" s="39"/>
      <c r="M23" s="39"/>
      <c r="N23" s="39"/>
      <c r="O23" s="39"/>
    </row>
    <row r="24" spans="1:16" x14ac:dyDescent="0.2">
      <c r="A24" t="s">
        <v>199</v>
      </c>
      <c r="C24" s="64" cm="1">
        <f t="array" ref="C24:E24">'Consolidated Income Stmt'!B6:D6</f>
        <v>3251.7240000000002</v>
      </c>
      <c r="D24" s="64">
        <v>3766.7930000000001</v>
      </c>
      <c r="E24" s="64">
        <v>4449.1409999999996</v>
      </c>
      <c r="F24" s="39"/>
      <c r="G24" s="39"/>
      <c r="H24" s="39"/>
      <c r="I24" s="39"/>
      <c r="J24" s="39"/>
      <c r="K24" s="39"/>
      <c r="L24" s="39"/>
      <c r="M24" s="39"/>
      <c r="N24" s="39"/>
      <c r="O24" s="39"/>
    </row>
    <row r="25" spans="1:16" s="16" customFormat="1" x14ac:dyDescent="0.2">
      <c r="A25" s="20" t="s">
        <v>204</v>
      </c>
      <c r="B25" s="20"/>
      <c r="C25" s="65">
        <f>C24/C23</f>
        <v>0.69072631831166387</v>
      </c>
      <c r="D25" s="65">
        <f t="shared" ref="D25:E25" si="1">D24/D23</f>
        <v>0.64831642747174545</v>
      </c>
      <c r="E25" s="65">
        <f t="shared" si="1"/>
        <v>0.6250390373608089</v>
      </c>
      <c r="F25" s="20"/>
      <c r="G25" s="20"/>
      <c r="H25" s="20"/>
      <c r="I25" s="20"/>
      <c r="J25" s="20"/>
      <c r="K25" s="20"/>
      <c r="L25" s="20"/>
      <c r="M25" s="20"/>
      <c r="N25" s="20"/>
      <c r="O25" s="20"/>
    </row>
    <row r="26" spans="1:16" s="16" customFormat="1" x14ac:dyDescent="0.2">
      <c r="A26" s="20" t="s">
        <v>3</v>
      </c>
      <c r="B26" s="20"/>
      <c r="C26" s="20"/>
      <c r="D26" s="20">
        <f>D24/C24-1</f>
        <v>0.15839874478891813</v>
      </c>
      <c r="E26" s="20">
        <f>E24/D24-1</f>
        <v>0.18114826060258671</v>
      </c>
      <c r="F26" s="20"/>
      <c r="G26" s="20"/>
      <c r="H26" s="20"/>
      <c r="I26" s="20"/>
      <c r="J26" s="20"/>
      <c r="K26" s="20"/>
      <c r="L26" s="20"/>
      <c r="M26" s="20"/>
      <c r="N26" s="20"/>
      <c r="O26" s="20"/>
    </row>
    <row r="27" spans="1:16" x14ac:dyDescent="0.2">
      <c r="A27" t="s">
        <v>200</v>
      </c>
      <c r="C27" s="39">
        <f>C23-C24</f>
        <v>1455.9639999999999</v>
      </c>
      <c r="D27" s="39">
        <f>D23-D24</f>
        <v>2043.3219999999997</v>
      </c>
      <c r="E27" s="39">
        <f>E23-E24</f>
        <v>2669.04</v>
      </c>
      <c r="F27" s="39">
        <f>'Operating model'!F17*Estimates!F28</f>
        <v>4072.3</v>
      </c>
      <c r="G27" s="39">
        <f>'Operating model'!G17*Estimates!G28</f>
        <v>5473.2651449307332</v>
      </c>
      <c r="H27" s="39">
        <f>'Operating model'!H17*Estimates!H28</f>
        <v>6933.4614446430933</v>
      </c>
      <c r="I27" s="39">
        <f>'Operating model'!I17*Estimates!I28</f>
        <v>8427.9391765155979</v>
      </c>
      <c r="J27" s="39">
        <f>'Operating model'!J17*Estimates!J28</f>
        <v>9981.8868753938132</v>
      </c>
      <c r="K27" s="39">
        <f>'Operating model'!K17*Estimates!K28</f>
        <v>11566.916886357794</v>
      </c>
      <c r="L27" s="39">
        <f>'Operating model'!L17*Estimates!L28</f>
        <v>13100.044887682405</v>
      </c>
      <c r="M27" s="39">
        <f>'Operating model'!M17*Estimates!M28</f>
        <v>14173.541019304168</v>
      </c>
      <c r="N27" s="39">
        <f>'Operating model'!N17*Estimates!N28</f>
        <v>14968.096594947405</v>
      </c>
      <c r="O27" s="39">
        <f>'Operating model'!O17*Estimates!O28</f>
        <v>15417.139492795828</v>
      </c>
    </row>
    <row r="28" spans="1:16" s="16" customFormat="1" x14ac:dyDescent="0.2">
      <c r="A28" s="20" t="s">
        <v>205</v>
      </c>
      <c r="B28" s="20"/>
      <c r="C28" s="65">
        <f>C27/C23</f>
        <v>0.30927368168833619</v>
      </c>
      <c r="D28" s="65">
        <f>D27/D23</f>
        <v>0.35168357252825455</v>
      </c>
      <c r="E28" s="65">
        <f>E27/E23</f>
        <v>0.3749609626391911</v>
      </c>
      <c r="F28" s="58">
        <v>0.38600000000000001</v>
      </c>
      <c r="G28" s="40">
        <f>$F$28+($L$28-$F$28)*(G$21-$F$21)/($L$21-$F$21)</f>
        <v>0.39583333333333337</v>
      </c>
      <c r="H28" s="40">
        <f t="shared" ref="H28:K28" si="2">$F$28+($L$28-$F$28)*(H$21-$F$21)/($L$21-$F$21)</f>
        <v>0.40566666666666668</v>
      </c>
      <c r="I28" s="40">
        <f t="shared" si="2"/>
        <v>0.41549999999999998</v>
      </c>
      <c r="J28" s="40">
        <f t="shared" si="2"/>
        <v>0.42533333333333334</v>
      </c>
      <c r="K28" s="40">
        <f t="shared" si="2"/>
        <v>0.4351666666666667</v>
      </c>
      <c r="L28" s="40">
        <f>Scenarios!$E$12</f>
        <v>0.44500000000000001</v>
      </c>
      <c r="M28" s="20">
        <f>L28</f>
        <v>0.44500000000000001</v>
      </c>
      <c r="N28" s="20">
        <f>M28</f>
        <v>0.44500000000000001</v>
      </c>
      <c r="O28" s="20">
        <f>N28</f>
        <v>0.44500000000000001</v>
      </c>
    </row>
    <row r="29" spans="1:16" x14ac:dyDescent="0.2">
      <c r="A29" s="20" t="s">
        <v>3</v>
      </c>
      <c r="D29" s="20">
        <f t="shared" ref="D29:O29" si="3">D27/C27-1</f>
        <v>0.4034151943317279</v>
      </c>
      <c r="E29" s="20">
        <f t="shared" si="3"/>
        <v>0.30622584203566561</v>
      </c>
      <c r="F29" s="20">
        <f t="shared" si="3"/>
        <v>0.52575457842520157</v>
      </c>
      <c r="G29" s="20">
        <f t="shared" si="3"/>
        <v>0.34402306925588322</v>
      </c>
      <c r="H29" s="20">
        <f t="shared" si="3"/>
        <v>0.26678705691149918</v>
      </c>
      <c r="I29" s="20">
        <f t="shared" si="3"/>
        <v>0.21554569010074509</v>
      </c>
      <c r="J29" s="20">
        <f t="shared" si="3"/>
        <v>0.18438050706491582</v>
      </c>
      <c r="K29" s="20">
        <f t="shared" si="3"/>
        <v>0.15879062052598614</v>
      </c>
      <c r="L29" s="20">
        <f t="shared" si="3"/>
        <v>0.13254422214555772</v>
      </c>
      <c r="M29" s="20">
        <f t="shared" si="3"/>
        <v>8.1945988798186598E-2</v>
      </c>
      <c r="N29" s="20">
        <f t="shared" si="3"/>
        <v>5.6059073350905209E-2</v>
      </c>
      <c r="O29" s="20">
        <f t="shared" si="3"/>
        <v>3.0000000000000027E-2</v>
      </c>
    </row>
    <row r="30" spans="1:16" x14ac:dyDescent="0.2">
      <c r="A30" t="s">
        <v>201</v>
      </c>
      <c r="C30" s="64" cm="1">
        <f t="array" ref="C30:E30">'Consolidated Income Stmt'!B7:D7</f>
        <v>478.78800000000001</v>
      </c>
      <c r="D30" s="64">
        <v>581.92399999999998</v>
      </c>
      <c r="E30" s="64">
        <v>722.952</v>
      </c>
      <c r="F30" s="39">
        <f>'Operating model'!F17*Estimates!F31</f>
        <v>1055</v>
      </c>
      <c r="G30" s="39">
        <f>'Operating model'!G17*Estimates!G31</f>
        <v>1352.7606905576172</v>
      </c>
      <c r="H30" s="39">
        <f>'Operating model'!H17*Estimates!H31</f>
        <v>1635.0890999281573</v>
      </c>
      <c r="I30" s="39">
        <f>'Operating model'!I17*Estimates!I31</f>
        <v>1896.5398628260129</v>
      </c>
      <c r="J30" s="39">
        <f>'Operating model'!J17*Estimates!J31</f>
        <v>2143.4459277883266</v>
      </c>
      <c r="K30" s="39">
        <f>'Operating model'!K17*Estimates!K31</f>
        <v>2370.0882934513284</v>
      </c>
      <c r="L30" s="39">
        <f>'Operating model'!L17*Estimates!L31</f>
        <v>2561.1323712997059</v>
      </c>
      <c r="M30" s="39">
        <f>'Operating model'!M17*Estimates!M31</f>
        <v>2771.0068959089044</v>
      </c>
      <c r="N30" s="39">
        <f>'Operating model'!N17*Estimates!N31</f>
        <v>2926.3469747425261</v>
      </c>
      <c r="O30" s="39">
        <f>'Operating model'!O17*Estimates!O31</f>
        <v>3014.1373839848025</v>
      </c>
    </row>
    <row r="31" spans="1:16" s="16" customFormat="1" x14ac:dyDescent="0.2">
      <c r="A31" s="20" t="s">
        <v>204</v>
      </c>
      <c r="B31" s="20"/>
      <c r="C31" s="20">
        <f>C30/C23</f>
        <v>0.10170342639529213</v>
      </c>
      <c r="D31" s="20">
        <f>D30/D23</f>
        <v>0.1001570536899872</v>
      </c>
      <c r="E31" s="20">
        <f>E30/E23</f>
        <v>0.10156414960507468</v>
      </c>
      <c r="F31" s="58">
        <v>0.1</v>
      </c>
      <c r="G31" s="40">
        <f>$F$31+($L$31-$F$31)*(G$21-$F$21)/($L$21-$F$21)</f>
        <v>9.7833333333333342E-2</v>
      </c>
      <c r="H31" s="40">
        <f t="shared" ref="H31:J31" si="4">$F$31+($L$31-$F$31)*(H$21-$F$21)/($L$21-$F$21)</f>
        <v>9.5666666666666664E-2</v>
      </c>
      <c r="I31" s="40">
        <f t="shared" si="4"/>
        <v>9.35E-2</v>
      </c>
      <c r="J31" s="40">
        <f t="shared" si="4"/>
        <v>9.1333333333333336E-2</v>
      </c>
      <c r="K31" s="40">
        <f>$F$31+($L$31-$F$31)*(K$21-$F$21)/($L$21-$F$21)</f>
        <v>8.9166666666666658E-2</v>
      </c>
      <c r="L31" s="43">
        <v>8.6999999999999994E-2</v>
      </c>
      <c r="M31" s="40">
        <f>L31</f>
        <v>8.6999999999999994E-2</v>
      </c>
      <c r="N31" s="40">
        <f t="shared" ref="N31:O31" si="5">M31</f>
        <v>8.6999999999999994E-2</v>
      </c>
      <c r="O31" s="40">
        <f t="shared" si="5"/>
        <v>8.6999999999999994E-2</v>
      </c>
    </row>
    <row r="32" spans="1:16" s="16" customFormat="1" x14ac:dyDescent="0.2">
      <c r="A32" s="20" t="s">
        <v>3</v>
      </c>
      <c r="B32" s="20"/>
      <c r="C32" s="20"/>
      <c r="D32" s="20">
        <f t="shared" ref="D32:O32" si="6">D30/C30-1</f>
        <v>0.21541057837706878</v>
      </c>
      <c r="E32" s="20">
        <f t="shared" si="6"/>
        <v>0.24234779799423989</v>
      </c>
      <c r="F32" s="20">
        <f t="shared" si="6"/>
        <v>0.45929466963228549</v>
      </c>
      <c r="G32" s="20">
        <f t="shared" si="6"/>
        <v>0.28223762138162756</v>
      </c>
      <c r="H32" s="20">
        <f t="shared" si="6"/>
        <v>0.20870536181396759</v>
      </c>
      <c r="I32" s="20">
        <f t="shared" si="6"/>
        <v>0.15990000967491214</v>
      </c>
      <c r="J32" s="20">
        <f t="shared" si="6"/>
        <v>0.13018764846545405</v>
      </c>
      <c r="K32" s="20">
        <f t="shared" si="6"/>
        <v>0.10573738423943269</v>
      </c>
      <c r="L32" s="20">
        <f t="shared" si="6"/>
        <v>8.060631259022788E-2</v>
      </c>
      <c r="M32" s="20">
        <f t="shared" si="6"/>
        <v>8.1945988798186375E-2</v>
      </c>
      <c r="N32" s="20">
        <f t="shared" si="6"/>
        <v>5.6059073350905209E-2</v>
      </c>
      <c r="O32" s="20">
        <f t="shared" si="6"/>
        <v>3.0000000000000249E-2</v>
      </c>
    </row>
    <row r="33" spans="1:15" x14ac:dyDescent="0.2">
      <c r="A33" t="s">
        <v>202</v>
      </c>
      <c r="C33" s="64" cm="1">
        <f t="array" ref="C33:E33">'Consolidated Income Stmt'!B8:D8</f>
        <v>854.00099999999998</v>
      </c>
      <c r="D33" s="64">
        <v>926.45100000000002</v>
      </c>
      <c r="E33" s="64">
        <v>1044.566</v>
      </c>
      <c r="F33" s="39">
        <f>'Operating model'!F17*Estimates!F34</f>
        <v>1266</v>
      </c>
      <c r="G33" s="39">
        <f>'Operating model'!G17*Estimates!G34</f>
        <v>1594.7366232808704</v>
      </c>
      <c r="H33" s="39">
        <f>'Operating model'!H17*Estimates!H34</f>
        <v>1891.4619553175896</v>
      </c>
      <c r="I33" s="39">
        <f>'Operating model'!I17*Estimates!I34</f>
        <v>2150.0879728294908</v>
      </c>
      <c r="J33" s="39">
        <f>'Operating model'!J17*Estimates!J34</f>
        <v>2378.1297884950777</v>
      </c>
      <c r="K33" s="39">
        <f>'Operating model'!K17*Estimates!K34</f>
        <v>2569.4415143958331</v>
      </c>
      <c r="L33" s="39">
        <f>'Operating model'!L17*Estimates!L34</f>
        <v>2708.3238868916433</v>
      </c>
      <c r="M33" s="39">
        <f>'Operating model'!M17*Estimates!M34</f>
        <v>2930.2601657887267</v>
      </c>
      <c r="N33" s="39">
        <f>'Operating model'!N17*Estimates!N34</f>
        <v>3094.5278353599128</v>
      </c>
      <c r="O33" s="39">
        <f>'Operating model'!O17*Estimates!O34</f>
        <v>3187.3636704207106</v>
      </c>
    </row>
    <row r="34" spans="1:15" s="16" customFormat="1" x14ac:dyDescent="0.2">
      <c r="A34" s="20" t="s">
        <v>204</v>
      </c>
      <c r="B34" s="20"/>
      <c r="C34" s="20">
        <f>C33/C23</f>
        <v>0.18140560716852944</v>
      </c>
      <c r="D34" s="20">
        <f>D33/D23</f>
        <v>0.15945484727927073</v>
      </c>
      <c r="E34" s="20">
        <f>E33/E23</f>
        <v>0.14674619822114668</v>
      </c>
      <c r="F34" s="58">
        <v>0.12</v>
      </c>
      <c r="G34" s="40">
        <f>$F$34+($L$34-$F$34)*(G$21-$F$21)/($L$21-$F$21)</f>
        <v>0.11533333333333333</v>
      </c>
      <c r="H34" s="40">
        <f t="shared" ref="H34:J34" si="7">$F$34+($L$34-$F$34)*(H$21-$F$21)/($L$21-$F$21)</f>
        <v>0.11066666666666666</v>
      </c>
      <c r="I34" s="40">
        <f t="shared" si="7"/>
        <v>0.106</v>
      </c>
      <c r="J34" s="40">
        <f t="shared" si="7"/>
        <v>0.10133333333333333</v>
      </c>
      <c r="K34" s="40">
        <f>$F$34+($L$34-$F$34)*(K$21-$F$21)/($L$21-$F$21)</f>
        <v>9.6666666666666665E-2</v>
      </c>
      <c r="L34" s="40">
        <f>Scenarios!$E$13</f>
        <v>9.1999999999999998E-2</v>
      </c>
      <c r="M34" s="20">
        <f>L34</f>
        <v>9.1999999999999998E-2</v>
      </c>
      <c r="N34" s="20">
        <f>M34</f>
        <v>9.1999999999999998E-2</v>
      </c>
      <c r="O34" s="20">
        <f>N34</f>
        <v>9.1999999999999998E-2</v>
      </c>
    </row>
    <row r="35" spans="1:15" s="16" customFormat="1" x14ac:dyDescent="0.2">
      <c r="A35" s="20" t="s">
        <v>3</v>
      </c>
      <c r="B35" s="20"/>
      <c r="C35" s="20"/>
      <c r="D35" s="20">
        <f t="shared" ref="D35:O35" si="8">D33/C33-1</f>
        <v>8.483596623423173E-2</v>
      </c>
      <c r="E35" s="20">
        <f t="shared" si="8"/>
        <v>0.12749190189227488</v>
      </c>
      <c r="F35" s="20">
        <f t="shared" si="8"/>
        <v>0.21198660496320954</v>
      </c>
      <c r="G35" s="20">
        <f t="shared" si="8"/>
        <v>0.25966557921079803</v>
      </c>
      <c r="H35" s="20">
        <f t="shared" si="8"/>
        <v>0.18606541525726228</v>
      </c>
      <c r="I35" s="20">
        <f t="shared" si="8"/>
        <v>0.13673339650570782</v>
      </c>
      <c r="J35" s="20">
        <f t="shared" si="8"/>
        <v>0.10606162098822702</v>
      </c>
      <c r="K35" s="20">
        <f t="shared" si="8"/>
        <v>8.0446293060321583E-2</v>
      </c>
      <c r="L35" s="20">
        <f t="shared" si="8"/>
        <v>5.4051579581668951E-2</v>
      </c>
      <c r="M35" s="20">
        <f t="shared" si="8"/>
        <v>8.1945988798186375E-2</v>
      </c>
      <c r="N35" s="20">
        <f t="shared" si="8"/>
        <v>5.6059073350905209E-2</v>
      </c>
      <c r="O35" s="20">
        <f t="shared" si="8"/>
        <v>3.0000000000000027E-2</v>
      </c>
    </row>
    <row r="36" spans="1:15" x14ac:dyDescent="0.2">
      <c r="A36" t="s">
        <v>203</v>
      </c>
      <c r="C36">
        <f>SUM('Consolidated Income Stmt'!B9:B11)</f>
        <v>27.053999999999998</v>
      </c>
      <c r="D36">
        <f>SUM('Consolidated Income Stmt'!C9:C11)</f>
        <v>245.06899999999999</v>
      </c>
      <c r="E36">
        <f>SUM('Consolidated Income Stmt'!D9:D11)</f>
        <v>3.6610000000000014</v>
      </c>
      <c r="F36" s="41">
        <v>80</v>
      </c>
      <c r="G36" s="41">
        <v>60</v>
      </c>
      <c r="H36" s="41">
        <v>40</v>
      </c>
      <c r="I36" s="41">
        <v>20</v>
      </c>
      <c r="J36" s="41">
        <v>0</v>
      </c>
      <c r="K36" s="39">
        <f>J36</f>
        <v>0</v>
      </c>
      <c r="L36" s="39">
        <f>K36</f>
        <v>0</v>
      </c>
      <c r="M36" s="39">
        <f>L36</f>
        <v>0</v>
      </c>
      <c r="N36" s="39">
        <f>M36</f>
        <v>0</v>
      </c>
      <c r="O36" s="39">
        <f>N36</f>
        <v>0</v>
      </c>
    </row>
    <row r="37" spans="1:15" s="16" customFormat="1" x14ac:dyDescent="0.2">
      <c r="A37" s="20" t="s">
        <v>204</v>
      </c>
      <c r="B37" s="20"/>
      <c r="C37" s="20">
        <f>C36/C23</f>
        <v>5.7467699643646728E-3</v>
      </c>
      <c r="D37" s="20">
        <f>D36/D23</f>
        <v>4.217971589202623E-2</v>
      </c>
      <c r="E37" s="20">
        <f>E36/E23</f>
        <v>5.143167896404997E-4</v>
      </c>
      <c r="F37" s="20"/>
      <c r="G37" s="20"/>
      <c r="H37" s="20"/>
      <c r="I37" s="20"/>
      <c r="J37" s="20"/>
      <c r="K37" s="20"/>
      <c r="L37" s="20"/>
      <c r="M37" s="20"/>
      <c r="N37" s="20"/>
      <c r="O37" s="20"/>
    </row>
    <row r="38" spans="1:15" s="16" customFormat="1" x14ac:dyDescent="0.2">
      <c r="A38" s="20" t="s">
        <v>3</v>
      </c>
      <c r="B38" s="20"/>
      <c r="C38" s="20"/>
      <c r="D38" s="20">
        <f t="shared" ref="D38:J38" si="9">D36/C36-1</f>
        <v>8.0585126044207875</v>
      </c>
      <c r="E38" s="20">
        <f t="shared" si="9"/>
        <v>-0.98506135006875617</v>
      </c>
      <c r="F38" s="20">
        <f t="shared" si="9"/>
        <v>20.851953018301003</v>
      </c>
      <c r="G38" s="20">
        <f t="shared" si="9"/>
        <v>-0.25</v>
      </c>
      <c r="H38" s="20">
        <f t="shared" si="9"/>
        <v>-0.33333333333333337</v>
      </c>
      <c r="I38" s="20">
        <f t="shared" si="9"/>
        <v>-0.5</v>
      </c>
      <c r="J38" s="20">
        <f t="shared" si="9"/>
        <v>-1</v>
      </c>
      <c r="K38" s="20"/>
      <c r="L38" s="20"/>
      <c r="M38" s="20"/>
      <c r="N38" s="20"/>
      <c r="O38" s="20"/>
    </row>
    <row r="39" spans="1:15" x14ac:dyDescent="0.2">
      <c r="A39" s="42" t="s">
        <v>151</v>
      </c>
      <c r="C39" s="69">
        <f>'Operating model'!C22</f>
        <v>96.120999999999952</v>
      </c>
      <c r="D39" s="69">
        <f>'Operating model'!D22</f>
        <v>289.87799999999964</v>
      </c>
      <c r="E39" s="69">
        <f>'Operating model'!E22</f>
        <v>897.86099999999999</v>
      </c>
      <c r="F39" s="44">
        <f t="shared" ref="F39:O39" si="10">F27-F30-F33-F36</f>
        <v>1671.3000000000002</v>
      </c>
      <c r="G39" s="44">
        <f t="shared" si="10"/>
        <v>2465.7678310922461</v>
      </c>
      <c r="H39" s="44">
        <f t="shared" si="10"/>
        <v>3366.9103893973461</v>
      </c>
      <c r="I39" s="44">
        <f t="shared" si="10"/>
        <v>4361.3113408600948</v>
      </c>
      <c r="J39" s="44">
        <f t="shared" si="10"/>
        <v>5460.311159110408</v>
      </c>
      <c r="K39" s="44">
        <f t="shared" si="10"/>
        <v>6627.3870785106328</v>
      </c>
      <c r="L39" s="44">
        <f t="shared" si="10"/>
        <v>7830.5886294910561</v>
      </c>
      <c r="M39" s="44">
        <f t="shared" si="10"/>
        <v>8472.2739576065378</v>
      </c>
      <c r="N39" s="44">
        <f t="shared" si="10"/>
        <v>8947.2217848449654</v>
      </c>
      <c r="O39" s="44">
        <f t="shared" si="10"/>
        <v>9215.6384383903151</v>
      </c>
    </row>
    <row r="40" spans="1:15" x14ac:dyDescent="0.2">
      <c r="A40" s="30" t="s">
        <v>206</v>
      </c>
      <c r="C40" s="29">
        <f>C39/C23</f>
        <v>2.0417878160149939E-2</v>
      </c>
      <c r="D40" s="29">
        <f t="shared" ref="D40:E40" si="11">D39/D23</f>
        <v>4.989195566697039E-2</v>
      </c>
      <c r="E40" s="29">
        <f t="shared" si="11"/>
        <v>0.12613629802332929</v>
      </c>
      <c r="F40" s="29">
        <f>F39/'Operating model'!F17</f>
        <v>0.15841706161137442</v>
      </c>
      <c r="G40" s="29">
        <f>G39/'Operating model'!G17</f>
        <v>0.1783273921438534</v>
      </c>
      <c r="H40" s="29">
        <f>H39/'Operating model'!H17</f>
        <v>0.19699299196182352</v>
      </c>
      <c r="I40" s="29">
        <f>I39/'Operating model'!I17</f>
        <v>0.21501399383337322</v>
      </c>
      <c r="J40" s="29">
        <f>J39/'Operating model'!J17</f>
        <v>0.23266666666666666</v>
      </c>
      <c r="K40" s="29">
        <f>K39/'Operating model'!K17</f>
        <v>0.24933333333333338</v>
      </c>
      <c r="L40" s="29">
        <f>L39/'Operating model'!L17</f>
        <v>0.26600000000000001</v>
      </c>
      <c r="M40" s="29">
        <f>M39/'Operating model'!M17</f>
        <v>0.26600000000000007</v>
      </c>
      <c r="N40" s="29">
        <f>N39/'Operating model'!N17</f>
        <v>0.26600000000000001</v>
      </c>
      <c r="O40" s="29">
        <f>O39/'Operating model'!O17</f>
        <v>0.26599999999999996</v>
      </c>
    </row>
    <row r="43" spans="1:15" x14ac:dyDescent="0.2">
      <c r="A43" s="12" t="s">
        <v>159</v>
      </c>
      <c r="B43" s="13"/>
      <c r="C43" s="13">
        <v>2024</v>
      </c>
      <c r="D43" s="13">
        <v>2025</v>
      </c>
      <c r="E43" s="13">
        <v>2026</v>
      </c>
      <c r="F43" s="14">
        <f t="shared" ref="F43" si="12">E43+1</f>
        <v>2027</v>
      </c>
      <c r="G43" s="14">
        <f t="shared" ref="G43" si="13">F43+1</f>
        <v>2028</v>
      </c>
      <c r="H43" s="14">
        <f t="shared" ref="H43" si="14">G43+1</f>
        <v>2029</v>
      </c>
      <c r="I43" s="14">
        <f t="shared" ref="I43" si="15">H43+1</f>
        <v>2030</v>
      </c>
      <c r="J43" s="14">
        <f t="shared" ref="J43" si="16">I43+1</f>
        <v>2031</v>
      </c>
      <c r="K43" s="14">
        <f t="shared" ref="K43" si="17">J43+1</f>
        <v>2032</v>
      </c>
      <c r="L43" s="14">
        <f t="shared" ref="L43" si="18">K43+1</f>
        <v>2033</v>
      </c>
      <c r="M43" s="14">
        <f t="shared" ref="M43" si="19">L43+1</f>
        <v>2034</v>
      </c>
      <c r="N43" s="14">
        <f t="shared" ref="N43" si="20">M43+1</f>
        <v>2035</v>
      </c>
      <c r="O43" s="14">
        <f t="shared" ref="O43" si="21">N43+1</f>
        <v>2036</v>
      </c>
    </row>
    <row r="45" spans="1:15" x14ac:dyDescent="0.2">
      <c r="A45" t="s">
        <v>159</v>
      </c>
      <c r="C45" s="80">
        <f>'Operating model'!C47</f>
        <v>-346.81599999999997</v>
      </c>
      <c r="D45" s="80">
        <f>'Operating model'!D47</f>
        <v>-440.83600000000001</v>
      </c>
      <c r="E45" s="80">
        <f>'Operating model'!E47</f>
        <v>-1102.9090000000001</v>
      </c>
      <c r="F45" s="39">
        <f>-'Operating model'!F17*Estimates!F46</f>
        <v>-2637.5</v>
      </c>
      <c r="G45" s="39">
        <f>-'Operating model'!G17*Estimates!G46</f>
        <v>-3180.2551157913313</v>
      </c>
      <c r="H45" s="39">
        <f xml:space="preserve"> -(H55 + ('Operating model'!H17-'Operating model'!G17)/$O$48)</f>
        <v>-2552.2826149770726</v>
      </c>
      <c r="I45" s="39">
        <f xml:space="preserve"> -(I55 + ('Operating model'!I17-'Operating model'!H17)/$O$48)</f>
        <v>-2717.9909969708101</v>
      </c>
      <c r="J45" s="39">
        <f xml:space="preserve"> -(J55 + ('Operating model'!J17-'Operating model'!I17)/$O$48)</f>
        <v>-2909.866389984365</v>
      </c>
      <c r="K45" s="39">
        <f xml:space="preserve"> -(K55 + ('Operating model'!K17-'Operating model'!J17)/$O$48)</f>
        <v>-3070.4522441259342</v>
      </c>
      <c r="L45" s="39">
        <f xml:space="preserve"> -(L55 + ('Operating model'!L17-'Operating model'!K17)/$O$48)</f>
        <v>-3140.0843139068234</v>
      </c>
      <c r="M45" s="39">
        <f xml:space="preserve"> -(M55 + ('Operating model'!M17-'Operating model'!L17)/$O$48)</f>
        <v>-3103.0236798836409</v>
      </c>
      <c r="N45" s="39">
        <f xml:space="preserve"> -(N55 + ('Operating model'!N17-'Operating model'!M17)/$O$48)</f>
        <v>-2952.3291899316614</v>
      </c>
      <c r="O45" s="39">
        <f>-(O50-O86+O55)</f>
        <v>-2878.4087918831242</v>
      </c>
    </row>
    <row r="46" spans="1:15" x14ac:dyDescent="0.2">
      <c r="A46" t="s">
        <v>2</v>
      </c>
      <c r="C46" s="40">
        <f>'Operating model'!C49</f>
        <v>7.3670132770056129E-2</v>
      </c>
      <c r="D46" s="40">
        <f>'Operating model'!D49</f>
        <v>7.5873885456656201E-2</v>
      </c>
      <c r="E46" s="40">
        <f>'Operating model'!E49</f>
        <v>0.15494253377372677</v>
      </c>
      <c r="F46" s="43">
        <v>0.25</v>
      </c>
      <c r="G46" s="43">
        <v>0.23</v>
      </c>
      <c r="H46" s="40">
        <f>-H45/'Operating model'!H17</f>
        <v>0.14933031489040458</v>
      </c>
      <c r="I46" s="40">
        <f>-I45/'Operating model'!I17</f>
        <v>0.13399779419246755</v>
      </c>
      <c r="J46" s="40">
        <f>-J45/'Operating model'!J17</f>
        <v>0.12399090338898017</v>
      </c>
      <c r="K46" s="40">
        <f>-K45/'Operating model'!K17</f>
        <v>0.11551552426311247</v>
      </c>
      <c r="L46" s="40">
        <f>-L45/'Operating model'!L17</f>
        <v>0.10666662073825507</v>
      </c>
      <c r="M46" s="40">
        <f>-M45/'Operating model'!M17</f>
        <v>9.7424174782259954E-2</v>
      </c>
      <c r="N46" s="40">
        <f>-N45/'Operating model'!N17</f>
        <v>8.7772448633386554E-2</v>
      </c>
      <c r="O46" s="40">
        <f>-O45/'Operating model'!O17</f>
        <v>8.3082332684771359E-2</v>
      </c>
    </row>
    <row r="48" spans="1:15" x14ac:dyDescent="0.2">
      <c r="A48" t="s">
        <v>238</v>
      </c>
      <c r="O48">
        <v>2.1</v>
      </c>
    </row>
    <row r="49" spans="1:15" x14ac:dyDescent="0.2">
      <c r="A49" t="s">
        <v>236</v>
      </c>
      <c r="O49" s="40">
        <f>'Operating model'!C3/'Operating model'!C4</f>
        <v>0.13032138377210853</v>
      </c>
    </row>
    <row r="50" spans="1:15" x14ac:dyDescent="0.2">
      <c r="A50" t="s">
        <v>237</v>
      </c>
      <c r="O50" s="39">
        <f>O49*DCF!O16</f>
        <v>948.78585537122274</v>
      </c>
    </row>
    <row r="53" spans="1:15" x14ac:dyDescent="0.2">
      <c r="A53" s="12" t="s">
        <v>155</v>
      </c>
      <c r="B53" s="13"/>
      <c r="C53" s="13">
        <v>2024</v>
      </c>
      <c r="D53" s="13">
        <v>2025</v>
      </c>
      <c r="E53" s="13">
        <v>2026</v>
      </c>
      <c r="F53" s="14">
        <f t="shared" ref="F53" si="22">E53+1</f>
        <v>2027</v>
      </c>
      <c r="G53" s="14">
        <f t="shared" ref="G53" si="23">F53+1</f>
        <v>2028</v>
      </c>
      <c r="H53" s="14">
        <f t="shared" ref="H53" si="24">G53+1</f>
        <v>2029</v>
      </c>
      <c r="I53" s="14">
        <f t="shared" ref="I53" si="25">H53+1</f>
        <v>2030</v>
      </c>
      <c r="J53" s="14">
        <f t="shared" ref="J53" si="26">I53+1</f>
        <v>2031</v>
      </c>
      <c r="K53" s="14">
        <f t="shared" ref="K53" si="27">J53+1</f>
        <v>2032</v>
      </c>
      <c r="L53" s="14">
        <f t="shared" ref="L53" si="28">K53+1</f>
        <v>2033</v>
      </c>
      <c r="M53" s="14">
        <f t="shared" ref="M53" si="29">L53+1</f>
        <v>2034</v>
      </c>
      <c r="N53" s="14">
        <f t="shared" ref="N53" si="30">M53+1</f>
        <v>2035</v>
      </c>
      <c r="O53" s="14">
        <f t="shared" ref="O53" si="31">N53+1</f>
        <v>2036</v>
      </c>
    </row>
    <row r="55" spans="1:15" x14ac:dyDescent="0.2">
      <c r="A55" t="s">
        <v>76</v>
      </c>
      <c r="C55" s="105">
        <f>'Consolidated Cash Flow'!B7</f>
        <v>271.601</v>
      </c>
      <c r="D55" s="105">
        <f>'Consolidated Cash Flow'!C7</f>
        <v>250.81</v>
      </c>
      <c r="E55" s="105">
        <f>'Consolidated Cash Flow'!D7</f>
        <v>241.56100000000001</v>
      </c>
      <c r="F55" s="39">
        <f t="shared" ref="F55:O55" si="32">$E$57*E56</f>
        <v>385.89698702747842</v>
      </c>
      <c r="G55" s="39">
        <f t="shared" si="32"/>
        <v>675.58936922187513</v>
      </c>
      <c r="H55" s="39">
        <f t="shared" si="32"/>
        <v>997.84093068452989</v>
      </c>
      <c r="I55" s="39">
        <f t="shared" si="32"/>
        <v>1197.8361838044336</v>
      </c>
      <c r="J55" s="39">
        <f t="shared" si="32"/>
        <v>1393.4200707477489</v>
      </c>
      <c r="K55" s="39">
        <f t="shared" si="32"/>
        <v>1588.5268209868245</v>
      </c>
      <c r="L55" s="39">
        <f t="shared" si="32"/>
        <v>1779.1920952781622</v>
      </c>
      <c r="M55" s="39">
        <f t="shared" si="32"/>
        <v>1954.2851762755477</v>
      </c>
      <c r="N55" s="39">
        <f t="shared" si="32"/>
        <v>2102.0824530207606</v>
      </c>
      <c r="O55" s="39">
        <f t="shared" si="32"/>
        <v>2211.4756281273967</v>
      </c>
    </row>
    <row r="56" spans="1:15" x14ac:dyDescent="0.2">
      <c r="A56" t="s">
        <v>207</v>
      </c>
      <c r="C56" s="79">
        <v>1817.2589999999998</v>
      </c>
      <c r="D56" s="64">
        <f>'Consolidated Balance Sheet'!B14</f>
        <v>1877.5070000000001</v>
      </c>
      <c r="E56" s="64">
        <f>'Consolidated Balance Sheet'!C14</f>
        <v>2999.3429999999998</v>
      </c>
      <c r="F56" s="39">
        <f>E56-'Operating model'!F47-Estimates!F55</f>
        <v>5250.9460129725212</v>
      </c>
      <c r="G56" s="39">
        <f>F56-'Operating model'!G47-Estimates!G55</f>
        <v>7755.6117595419773</v>
      </c>
      <c r="H56" s="39">
        <f>G56-'Operating model'!H47-Estimates!H55</f>
        <v>9310.0534438345203</v>
      </c>
      <c r="I56" s="39">
        <f>H56-'Operating model'!I47-Estimates!I55</f>
        <v>10830.208257000897</v>
      </c>
      <c r="J56" s="39">
        <f>I56-'Operating model'!J47-Estimates!J55</f>
        <v>12346.654576237514</v>
      </c>
      <c r="K56" s="39">
        <f>J56-'Operating model'!K47-Estimates!K55</f>
        <v>13828.579999376623</v>
      </c>
      <c r="L56" s="39">
        <f>K56-'Operating model'!L47-Estimates!L55</f>
        <v>15189.472218005285</v>
      </c>
      <c r="M56" s="39">
        <f>L56-'Operating model'!M47-Estimates!M55</f>
        <v>16338.210721613379</v>
      </c>
      <c r="N56" s="39">
        <f>M56-'Operating model'!N47-Estimates!N55</f>
        <v>17188.457458524281</v>
      </c>
      <c r="O56" s="39">
        <f>N56-'Operating model'!O47-Estimates!O55</f>
        <v>17855.390622280007</v>
      </c>
    </row>
    <row r="57" spans="1:15" x14ac:dyDescent="0.2">
      <c r="A57" t="s">
        <v>212</v>
      </c>
      <c r="D57" s="40">
        <f>D55/C56</f>
        <v>0.1380155497922971</v>
      </c>
      <c r="E57" s="40">
        <f>E55/D56</f>
        <v>0.128660505659899</v>
      </c>
      <c r="F57" s="40">
        <f t="shared" ref="F57:O57" si="33">F55/E56</f>
        <v>0.128660505659899</v>
      </c>
      <c r="G57" s="40">
        <f t="shared" si="33"/>
        <v>0.128660505659899</v>
      </c>
      <c r="H57" s="40">
        <f t="shared" si="33"/>
        <v>0.128660505659899</v>
      </c>
      <c r="I57" s="40">
        <f t="shared" si="33"/>
        <v>0.128660505659899</v>
      </c>
      <c r="J57" s="40">
        <f t="shared" si="33"/>
        <v>0.128660505659899</v>
      </c>
      <c r="K57" s="40">
        <f t="shared" si="33"/>
        <v>0.128660505659899</v>
      </c>
      <c r="L57" s="40">
        <f t="shared" si="33"/>
        <v>0.128660505659899</v>
      </c>
      <c r="M57" s="40">
        <f t="shared" si="33"/>
        <v>0.128660505659899</v>
      </c>
      <c r="N57" s="40">
        <f t="shared" si="33"/>
        <v>0.128660505659899</v>
      </c>
      <c r="O57" s="40">
        <f t="shared" si="33"/>
        <v>0.128660505659899</v>
      </c>
    </row>
    <row r="59" spans="1:15" x14ac:dyDescent="0.2">
      <c r="A59" t="s">
        <v>77</v>
      </c>
      <c r="F59" s="41">
        <v>277.27300000000002</v>
      </c>
      <c r="G59" s="41">
        <v>242.596</v>
      </c>
      <c r="H59" s="41">
        <v>257.005</v>
      </c>
      <c r="I59" s="41">
        <v>251.941</v>
      </c>
      <c r="J59" s="41">
        <v>240.404</v>
      </c>
      <c r="K59" s="39">
        <f>$J$60/5</f>
        <v>237.05100000000002</v>
      </c>
      <c r="L59" s="39">
        <f t="shared" ref="L59:O59" si="34">$J$60/5</f>
        <v>237.05100000000002</v>
      </c>
      <c r="M59" s="39">
        <f t="shared" si="34"/>
        <v>237.05100000000002</v>
      </c>
      <c r="N59" s="39">
        <f t="shared" si="34"/>
        <v>237.05100000000002</v>
      </c>
      <c r="O59" s="39">
        <f t="shared" si="34"/>
        <v>237.05100000000002</v>
      </c>
    </row>
    <row r="60" spans="1:15" x14ac:dyDescent="0.2">
      <c r="A60" t="s">
        <v>213</v>
      </c>
      <c r="J60" s="39">
        <f>2454.474-SUM(F59:J59)</f>
        <v>1185.2550000000001</v>
      </c>
    </row>
    <row r="61" spans="1:15" x14ac:dyDescent="0.2">
      <c r="A61" t="s">
        <v>214</v>
      </c>
      <c r="J61" s="39">
        <f>J60/J59</f>
        <v>4.9302632235736512</v>
      </c>
    </row>
    <row r="63" spans="1:15" x14ac:dyDescent="0.2">
      <c r="A63" s="42" t="s">
        <v>155</v>
      </c>
      <c r="F63" s="44">
        <f>F55+F59</f>
        <v>663.16998702747844</v>
      </c>
      <c r="G63" s="44">
        <f t="shared" ref="G63:O63" si="35">G55+G59</f>
        <v>918.18536922187513</v>
      </c>
      <c r="H63" s="44">
        <f t="shared" si="35"/>
        <v>1254.8459306845298</v>
      </c>
      <c r="I63" s="44">
        <f t="shared" si="35"/>
        <v>1449.7771838044337</v>
      </c>
      <c r="J63" s="44">
        <f t="shared" si="35"/>
        <v>1633.8240707477489</v>
      </c>
      <c r="K63" s="44">
        <f t="shared" si="35"/>
        <v>1825.5778209868245</v>
      </c>
      <c r="L63" s="44">
        <f t="shared" si="35"/>
        <v>2016.2430952781622</v>
      </c>
      <c r="M63" s="44">
        <f t="shared" si="35"/>
        <v>2191.3361762755476</v>
      </c>
      <c r="N63" s="44">
        <f t="shared" si="35"/>
        <v>2339.1334530207605</v>
      </c>
      <c r="O63" s="44">
        <f t="shared" si="35"/>
        <v>2448.5266281273966</v>
      </c>
    </row>
    <row r="66" spans="1:15" x14ac:dyDescent="0.2">
      <c r="A66" s="12" t="s">
        <v>161</v>
      </c>
      <c r="B66" s="13"/>
      <c r="C66" s="13">
        <v>2024</v>
      </c>
      <c r="D66" s="13">
        <v>2025</v>
      </c>
      <c r="E66" s="13">
        <v>2026</v>
      </c>
      <c r="F66" s="14">
        <f t="shared" ref="F66" si="36">E66+1</f>
        <v>2027</v>
      </c>
      <c r="G66" s="14">
        <f t="shared" ref="G66" si="37">F66+1</f>
        <v>2028</v>
      </c>
      <c r="H66" s="14">
        <f t="shared" ref="H66" si="38">G66+1</f>
        <v>2029</v>
      </c>
      <c r="I66" s="14">
        <f t="shared" ref="I66" si="39">H66+1</f>
        <v>2030</v>
      </c>
      <c r="J66" s="14">
        <f t="shared" ref="J66" si="40">I66+1</f>
        <v>2031</v>
      </c>
      <c r="K66" s="14">
        <f t="shared" ref="K66" si="41">J66+1</f>
        <v>2032</v>
      </c>
      <c r="L66" s="14">
        <f t="shared" ref="L66" si="42">K66+1</f>
        <v>2033</v>
      </c>
      <c r="M66" s="14">
        <f t="shared" ref="M66" si="43">L66+1</f>
        <v>2034</v>
      </c>
      <c r="N66" s="14">
        <f t="shared" ref="N66" si="44">M66+1</f>
        <v>2035</v>
      </c>
      <c r="O66" s="14">
        <f t="shared" ref="O66" si="45">N66+1</f>
        <v>2036</v>
      </c>
    </row>
    <row r="68" spans="1:15" x14ac:dyDescent="0.2">
      <c r="A68" t="s">
        <v>215</v>
      </c>
      <c r="C68" s="39">
        <f>(848.542/'Consolidated Income Stmt'!B4)*365</f>
        <v>65.789795330531675</v>
      </c>
      <c r="D68" s="39">
        <f>('Consolidated Balance Sheet'!B9/'Consolidated Income Stmt'!C4)*365</f>
        <v>60.563106754341355</v>
      </c>
      <c r="E68" s="39">
        <f>('Consolidated Balance Sheet'!C9/'Consolidated Income Stmt'!D4)*365</f>
        <v>68.879460918456559</v>
      </c>
      <c r="F68" s="41">
        <v>65</v>
      </c>
      <c r="G68" s="39">
        <f t="shared" ref="G68:O68" si="46">F68</f>
        <v>65</v>
      </c>
      <c r="H68" s="39">
        <f t="shared" si="46"/>
        <v>65</v>
      </c>
      <c r="I68" s="39">
        <f t="shared" si="46"/>
        <v>65</v>
      </c>
      <c r="J68" s="39">
        <f t="shared" si="46"/>
        <v>65</v>
      </c>
      <c r="K68" s="39">
        <f t="shared" si="46"/>
        <v>65</v>
      </c>
      <c r="L68" s="39">
        <f t="shared" si="46"/>
        <v>65</v>
      </c>
      <c r="M68" s="39">
        <f t="shared" si="46"/>
        <v>65</v>
      </c>
      <c r="N68" s="39">
        <f t="shared" si="46"/>
        <v>65</v>
      </c>
      <c r="O68" s="39">
        <f t="shared" si="46"/>
        <v>65</v>
      </c>
    </row>
    <row r="69" spans="1:15" x14ac:dyDescent="0.2">
      <c r="A69" t="s">
        <v>216</v>
      </c>
      <c r="C69" s="39">
        <f>(1286.404/'Consolidated Income Stmt'!B6)*365</f>
        <v>144.39646784290426</v>
      </c>
      <c r="D69" s="39">
        <f>('Consolidated Balance Sheet'!B10/'Consolidated Income Stmt'!C6)*365</f>
        <v>139.30607283171653</v>
      </c>
      <c r="E69" s="39">
        <f>('Consolidated Balance Sheet'!C10/'Consolidated Income Stmt'!D6)*365</f>
        <v>211.74440077309308</v>
      </c>
      <c r="F69" s="41">
        <v>180</v>
      </c>
      <c r="G69" s="39">
        <f t="shared" ref="G69:O69" si="47">F69</f>
        <v>180</v>
      </c>
      <c r="H69" s="39">
        <f t="shared" si="47"/>
        <v>180</v>
      </c>
      <c r="I69" s="39">
        <f t="shared" si="47"/>
        <v>180</v>
      </c>
      <c r="J69" s="39">
        <f t="shared" si="47"/>
        <v>180</v>
      </c>
      <c r="K69" s="39">
        <f t="shared" si="47"/>
        <v>180</v>
      </c>
      <c r="L69" s="39">
        <f t="shared" si="47"/>
        <v>180</v>
      </c>
      <c r="M69" s="39">
        <f t="shared" si="47"/>
        <v>180</v>
      </c>
      <c r="N69" s="39">
        <f t="shared" si="47"/>
        <v>180</v>
      </c>
      <c r="O69" s="39">
        <f t="shared" si="47"/>
        <v>180</v>
      </c>
    </row>
    <row r="70" spans="1:15" x14ac:dyDescent="0.2">
      <c r="A70" t="s">
        <v>217</v>
      </c>
      <c r="C70" s="39">
        <f>(631.548-63.286)/'Consolidated Income Stmt'!B6*365</f>
        <v>63.786357636748988</v>
      </c>
      <c r="D70" s="39">
        <f>('Consolidated Balance Sheet'!B24-'Consolidated Cash Flow'!C61)/'Consolidated Income Stmt'!C6*365</f>
        <v>75.565838101536244</v>
      </c>
      <c r="E70" s="39">
        <f xml:space="preserve"> ('Consolidated Balance Sheet'!C24-'Consolidated Cash Flow'!D61)/'Consolidated Income Stmt'!D6*365</f>
        <v>125.81214441169655</v>
      </c>
      <c r="F70" s="41">
        <v>120</v>
      </c>
      <c r="G70" s="39">
        <f>F70</f>
        <v>120</v>
      </c>
      <c r="H70" s="39">
        <f t="shared" ref="H70:O70" si="48">G70</f>
        <v>120</v>
      </c>
      <c r="I70" s="39">
        <f t="shared" si="48"/>
        <v>120</v>
      </c>
      <c r="J70" s="39">
        <f t="shared" si="48"/>
        <v>120</v>
      </c>
      <c r="K70" s="39">
        <f t="shared" si="48"/>
        <v>120</v>
      </c>
      <c r="L70" s="39">
        <f t="shared" si="48"/>
        <v>120</v>
      </c>
      <c r="M70" s="39">
        <f t="shared" si="48"/>
        <v>120</v>
      </c>
      <c r="N70" s="39">
        <f t="shared" si="48"/>
        <v>120</v>
      </c>
      <c r="O70" s="39">
        <f t="shared" si="48"/>
        <v>120</v>
      </c>
    </row>
    <row r="71" spans="1:15" x14ac:dyDescent="0.2">
      <c r="A71" t="s">
        <v>218</v>
      </c>
      <c r="C71" s="40">
        <f>389.203/'Consolidated Income Stmt'!B4</f>
        <v>8.2673915518615498E-2</v>
      </c>
      <c r="D71" s="40">
        <f>'Consolidated Balance Sheet'!B12/'Consolidated Income Stmt'!C4</f>
        <v>9.4937363546160447E-2</v>
      </c>
      <c r="E71" s="40">
        <f>'Consolidated Balance Sheet'!C12/'Consolidated Income Stmt'!D4</f>
        <v>0.12645253049901373</v>
      </c>
      <c r="F71" s="43">
        <v>0.11</v>
      </c>
      <c r="G71" s="40">
        <f>F71</f>
        <v>0.11</v>
      </c>
      <c r="H71" s="40">
        <f t="shared" ref="H71:O73" si="49">G71</f>
        <v>0.11</v>
      </c>
      <c r="I71" s="40">
        <f t="shared" si="49"/>
        <v>0.11</v>
      </c>
      <c r="J71" s="40">
        <f t="shared" si="49"/>
        <v>0.11</v>
      </c>
      <c r="K71" s="40">
        <f t="shared" si="49"/>
        <v>0.11</v>
      </c>
      <c r="L71" s="40">
        <f t="shared" si="49"/>
        <v>0.11</v>
      </c>
      <c r="M71" s="40">
        <f t="shared" si="49"/>
        <v>0.11</v>
      </c>
      <c r="N71" s="40">
        <f t="shared" si="49"/>
        <v>0.11</v>
      </c>
      <c r="O71" s="40">
        <f t="shared" si="49"/>
        <v>0.11</v>
      </c>
    </row>
    <row r="72" spans="1:15" x14ac:dyDescent="0.2">
      <c r="A72" t="s">
        <v>219</v>
      </c>
      <c r="C72" s="40">
        <f>212.458/'Consolidated Income Stmt'!B4</f>
        <v>4.5130008615694155E-2</v>
      </c>
      <c r="D72" s="40">
        <f>'Consolidated Balance Sheet'!B25/'Consolidated Income Stmt'!C4</f>
        <v>4.4517191139934402E-2</v>
      </c>
      <c r="E72" s="40">
        <f>'Consolidated Balance Sheet'!C25/'Consolidated Income Stmt'!D4</f>
        <v>5.0300350609235711E-2</v>
      </c>
      <c r="F72" s="43">
        <v>0.05</v>
      </c>
      <c r="G72" s="40">
        <f>F72</f>
        <v>0.05</v>
      </c>
      <c r="H72" s="40">
        <f t="shared" si="49"/>
        <v>0.05</v>
      </c>
      <c r="I72" s="40">
        <f t="shared" si="49"/>
        <v>0.05</v>
      </c>
      <c r="J72" s="40">
        <f t="shared" si="49"/>
        <v>0.05</v>
      </c>
      <c r="K72" s="40">
        <f t="shared" si="49"/>
        <v>0.05</v>
      </c>
      <c r="L72" s="40">
        <f t="shared" si="49"/>
        <v>0.05</v>
      </c>
      <c r="M72" s="40">
        <f t="shared" si="49"/>
        <v>0.05</v>
      </c>
      <c r="N72" s="40">
        <f t="shared" si="49"/>
        <v>0.05</v>
      </c>
      <c r="O72" s="40">
        <f t="shared" si="49"/>
        <v>0.05</v>
      </c>
    </row>
    <row r="73" spans="1:15" x14ac:dyDescent="0.2">
      <c r="A73" t="s">
        <v>220</v>
      </c>
      <c r="C73" s="40">
        <f>294.706/'Consolidated Income Stmt'!B4</f>
        <v>6.2601004994383661E-2</v>
      </c>
      <c r="D73" s="40">
        <f>'Consolidated Balance Sheet'!B28/'Consolidated Income Stmt'!C4</f>
        <v>5.7755139097935247E-2</v>
      </c>
      <c r="E73" s="40">
        <f>'Consolidated Balance Sheet'!C28/'Consolidated Income Stmt'!D4</f>
        <v>4.8887489655011586E-2</v>
      </c>
      <c r="F73" s="43">
        <v>0.05</v>
      </c>
      <c r="G73" s="40">
        <f>F73</f>
        <v>0.05</v>
      </c>
      <c r="H73" s="40">
        <f t="shared" si="49"/>
        <v>0.05</v>
      </c>
      <c r="I73" s="40">
        <f t="shared" si="49"/>
        <v>0.05</v>
      </c>
      <c r="J73" s="40">
        <f t="shared" si="49"/>
        <v>0.05</v>
      </c>
      <c r="K73" s="40">
        <f t="shared" si="49"/>
        <v>0.05</v>
      </c>
      <c r="L73" s="40">
        <f t="shared" si="49"/>
        <v>0.05</v>
      </c>
      <c r="M73" s="40">
        <f t="shared" si="49"/>
        <v>0.05</v>
      </c>
      <c r="N73" s="40">
        <f t="shared" si="49"/>
        <v>0.05</v>
      </c>
      <c r="O73" s="40">
        <f t="shared" si="49"/>
        <v>0.05</v>
      </c>
    </row>
    <row r="74" spans="1:15" x14ac:dyDescent="0.2">
      <c r="A74" t="s">
        <v>221</v>
      </c>
      <c r="C74" s="39">
        <f>C68+C69-C70</f>
        <v>146.39990553668693</v>
      </c>
      <c r="D74" s="39">
        <f t="shared" ref="D74:E74" si="50">D68+D69-D70</f>
        <v>124.30334148452165</v>
      </c>
      <c r="E74" s="39">
        <f t="shared" si="50"/>
        <v>154.81171727985307</v>
      </c>
      <c r="F74" s="39">
        <f t="shared" ref="F74:O74" si="51">F68+F69-F70</f>
        <v>125</v>
      </c>
      <c r="G74" s="39">
        <f t="shared" si="51"/>
        <v>125</v>
      </c>
      <c r="H74" s="39">
        <f t="shared" si="51"/>
        <v>125</v>
      </c>
      <c r="I74" s="39">
        <f t="shared" si="51"/>
        <v>125</v>
      </c>
      <c r="J74" s="39">
        <f t="shared" si="51"/>
        <v>125</v>
      </c>
      <c r="K74" s="39">
        <f t="shared" si="51"/>
        <v>125</v>
      </c>
      <c r="L74" s="39">
        <f t="shared" si="51"/>
        <v>125</v>
      </c>
      <c r="M74" s="39">
        <f t="shared" si="51"/>
        <v>125</v>
      </c>
      <c r="N74" s="39">
        <f t="shared" si="51"/>
        <v>125</v>
      </c>
      <c r="O74" s="39">
        <f t="shared" si="51"/>
        <v>125</v>
      </c>
    </row>
    <row r="76" spans="1:15" x14ac:dyDescent="0.2">
      <c r="A76" t="s">
        <v>199</v>
      </c>
      <c r="C76" s="39">
        <f>'Operating model'!C17*(1-Estimates!C28)</f>
        <v>3251.7240000000002</v>
      </c>
      <c r="D76" s="39">
        <f>'Operating model'!D17*(1-Estimates!D28)</f>
        <v>3766.7930000000001</v>
      </c>
      <c r="E76" s="39">
        <f>'Operating model'!E17*(1-Estimates!E28)</f>
        <v>4449.1409999999996</v>
      </c>
      <c r="F76" s="39">
        <f>'Operating model'!F17*(1-Estimates!F28)</f>
        <v>6477.7</v>
      </c>
      <c r="G76" s="39">
        <f>'Operating model'!G17*(1-Estimates!G28)</f>
        <v>8353.9310106837493</v>
      </c>
      <c r="H76" s="39">
        <f>'Operating model'!H17*(1-Estimates!H28)</f>
        <v>10158.062247985732</v>
      </c>
      <c r="I76" s="39">
        <f>'Operating model'!I17*(1-Estimates!I28)</f>
        <v>11855.909623762616</v>
      </c>
      <c r="J76" s="39">
        <f>'Operating model'!J17*(1-Estimates!J28)</f>
        <v>13486.499195281294</v>
      </c>
      <c r="K76" s="39">
        <f>'Operating model'!K17*(1-Estimates!K28)</f>
        <v>15013.512572909443</v>
      </c>
      <c r="L76" s="39">
        <f>'Operating model'!L17*(1-Estimates!L28)</f>
        <v>16338.25823070502</v>
      </c>
      <c r="M76" s="39">
        <f>'Operating model'!M17*(1-Estimates!M28)</f>
        <v>17677.112956660254</v>
      </c>
      <c r="N76" s="39">
        <f>'Operating model'!N17*(1-Estimates!N28)</f>
        <v>18668.075528529906</v>
      </c>
      <c r="O76" s="39">
        <f>'Operating model'!O17*(1-Estimates!O28)</f>
        <v>19228.117794385806</v>
      </c>
    </row>
    <row r="78" spans="1:15" x14ac:dyDescent="0.2">
      <c r="A78" t="s">
        <v>222</v>
      </c>
      <c r="C78" s="80">
        <f>C68/365*'Operating model'!C17</f>
        <v>848.54200000000003</v>
      </c>
      <c r="D78" s="80">
        <f>D68/365*'Operating model'!D17</f>
        <v>964.05100000000004</v>
      </c>
      <c r="E78" s="39">
        <f>E68/365*'Operating model'!E17</f>
        <v>1343.278</v>
      </c>
      <c r="F78" s="39">
        <f>F68/365*'Operating model'!F17</f>
        <v>1878.7671232876712</v>
      </c>
      <c r="G78" s="39">
        <f>G68/365*'Operating model'!G17</f>
        <v>2462.3773975751819</v>
      </c>
      <c r="H78" s="39">
        <f>H68/365*'Operating model'!H17</f>
        <v>3043.6960000571876</v>
      </c>
      <c r="I78" s="39">
        <f>I68/365*'Operating model'!I17</f>
        <v>3612.1922521043393</v>
      </c>
      <c r="J78" s="39">
        <f>J68/365*'Operating model'!J17</f>
        <v>4179.301629024334</v>
      </c>
      <c r="K78" s="39">
        <f>K68/365*'Operating model'!K17</f>
        <v>4733.5011365818364</v>
      </c>
      <c r="L78" s="39">
        <f>L68/365*'Operating model'!L17</f>
        <v>5242.4375416306375</v>
      </c>
      <c r="M78" s="39">
        <f>M68/365*'Operating model'!M17</f>
        <v>5672.0342696922944</v>
      </c>
      <c r="N78" s="39">
        <f>N68/365*'Operating model'!N17</f>
        <v>5990.0032548658228</v>
      </c>
      <c r="O78" s="39">
        <f>O68/365*'Operating model'!O17</f>
        <v>6169.7033525117977</v>
      </c>
    </row>
    <row r="79" spans="1:15" x14ac:dyDescent="0.2">
      <c r="A79" t="s">
        <v>15</v>
      </c>
      <c r="C79" s="39">
        <f>C69/365*Estimates!C76</f>
        <v>1286.404</v>
      </c>
      <c r="D79" s="39">
        <f>D69/365*Estimates!D76</f>
        <v>1437.636</v>
      </c>
      <c r="E79" s="39">
        <f>E69/365*Estimates!E76</f>
        <v>2581.0430000000001</v>
      </c>
      <c r="F79" s="39">
        <f>F69/365*Estimates!F76</f>
        <v>3194.4821917808217</v>
      </c>
      <c r="G79" s="39">
        <f>G69/365*Estimates!G76</f>
        <v>4119.7467997892463</v>
      </c>
      <c r="H79" s="39">
        <f>H69/365*Estimates!H76</f>
        <v>5009.455355171046</v>
      </c>
      <c r="I79" s="39">
        <f>I69/365*Estimates!I76</f>
        <v>5846.7499514445772</v>
      </c>
      <c r="J79" s="39">
        <f>J69/365*Estimates!J76</f>
        <v>6650.8763154811859</v>
      </c>
      <c r="K79" s="39">
        <f>K69/365*Estimates!K76</f>
        <v>7403.9240085580814</v>
      </c>
      <c r="L79" s="39">
        <f>L69/365*Estimates!L76</f>
        <v>8057.2232370600095</v>
      </c>
      <c r="M79" s="39">
        <f>M69/365*Estimates!M76</f>
        <v>8717.4803621886185</v>
      </c>
      <c r="N79" s="39">
        <f>N69/365*Estimates!N76</f>
        <v>9206.1742332476242</v>
      </c>
      <c r="O79" s="39">
        <f>O69/365*Estimates!O76</f>
        <v>9482.3594602450539</v>
      </c>
    </row>
    <row r="80" spans="1:15" x14ac:dyDescent="0.2">
      <c r="A80" t="s">
        <v>223</v>
      </c>
      <c r="C80" s="39">
        <f>C71*'Operating model'!C17</f>
        <v>389.20299999999997</v>
      </c>
      <c r="D80" s="39">
        <f>D71*'Operating model'!D17</f>
        <v>551.59699999999998</v>
      </c>
      <c r="E80" s="39">
        <f>E71*'Operating model'!E17</f>
        <v>900.11199999999997</v>
      </c>
      <c r="F80" s="39">
        <f>F71*'Operating model'!F17</f>
        <v>1160.5</v>
      </c>
      <c r="G80" s="39">
        <f>G71*'Operating model'!G17</f>
        <v>1520.9915771175931</v>
      </c>
      <c r="H80" s="39">
        <f>H71*'Operating model'!H17</f>
        <v>1880.0676061891706</v>
      </c>
      <c r="I80" s="39">
        <f>I71*'Operating model'!I17</f>
        <v>2231.2233680306035</v>
      </c>
      <c r="J80" s="39">
        <f>J71*'Operating model'!J17</f>
        <v>2581.5224677742617</v>
      </c>
      <c r="K80" s="39">
        <f>K71*'Operating model'!K17</f>
        <v>2923.8472405193961</v>
      </c>
      <c r="L80" s="39">
        <f>L71*'Operating model'!L17</f>
        <v>3238.2133430226168</v>
      </c>
      <c r="M80" s="39">
        <f>M71*'Operating model'!M17</f>
        <v>3503.5719373560864</v>
      </c>
      <c r="N80" s="39">
        <f>N71*'Operating model'!N17</f>
        <v>3699.9789335825044</v>
      </c>
      <c r="O80" s="39">
        <f>O71*'Operating model'!O17</f>
        <v>3810.9783015899802</v>
      </c>
    </row>
    <row r="81" spans="1:15" x14ac:dyDescent="0.2">
      <c r="A81" t="s">
        <v>282</v>
      </c>
      <c r="C81" s="39">
        <f>C70/365*C76</f>
        <v>568.26199999999994</v>
      </c>
      <c r="D81" s="39">
        <f t="shared" ref="D81:O81" si="52">D70/365*D76</f>
        <v>779.83800000000008</v>
      </c>
      <c r="E81" s="39">
        <f t="shared" si="52"/>
        <v>1533.578</v>
      </c>
      <c r="F81" s="39">
        <f t="shared" si="52"/>
        <v>2129.654794520548</v>
      </c>
      <c r="G81" s="39">
        <f t="shared" si="52"/>
        <v>2746.4978665261642</v>
      </c>
      <c r="H81" s="39">
        <f t="shared" si="52"/>
        <v>3339.6369034473637</v>
      </c>
      <c r="I81" s="39">
        <f t="shared" si="52"/>
        <v>3897.8333009630519</v>
      </c>
      <c r="J81" s="39">
        <f t="shared" si="52"/>
        <v>4433.9175436541236</v>
      </c>
      <c r="K81" s="39">
        <f t="shared" si="52"/>
        <v>4935.9493390387206</v>
      </c>
      <c r="L81" s="39">
        <f t="shared" si="52"/>
        <v>5371.4821580400057</v>
      </c>
      <c r="M81" s="39">
        <f t="shared" si="52"/>
        <v>5811.6535747924117</v>
      </c>
      <c r="N81" s="39">
        <f t="shared" si="52"/>
        <v>6137.4494888317495</v>
      </c>
      <c r="O81" s="39">
        <f t="shared" si="52"/>
        <v>6321.5729734967026</v>
      </c>
    </row>
    <row r="82" spans="1:15" x14ac:dyDescent="0.2">
      <c r="A82" t="s">
        <v>225</v>
      </c>
      <c r="C82" s="39">
        <f>C72*'Operating model'!C17</f>
        <v>212.458</v>
      </c>
      <c r="D82" s="39">
        <f>D72*'Operating model'!D17</f>
        <v>258.64999999999998</v>
      </c>
      <c r="E82" s="39">
        <f>E72*'Operating model'!E17</f>
        <v>358.04700000000003</v>
      </c>
      <c r="F82" s="39">
        <f>F72*'Operating model'!F17</f>
        <v>527.5</v>
      </c>
      <c r="G82" s="39">
        <f>G72*'Operating model'!G17</f>
        <v>691.35980778072417</v>
      </c>
      <c r="H82" s="39">
        <f>H72*'Operating model'!H17</f>
        <v>854.57618463144127</v>
      </c>
      <c r="I82" s="39">
        <f>I72*'Operating model'!I17</f>
        <v>1014.1924400139108</v>
      </c>
      <c r="J82" s="39">
        <f>J72*'Operating model'!J17</f>
        <v>1173.4193035337555</v>
      </c>
      <c r="K82" s="39">
        <f>K72*'Operating model'!K17</f>
        <v>1329.0214729633619</v>
      </c>
      <c r="L82" s="39">
        <f>L72*'Operating model'!L17</f>
        <v>1471.9151559193715</v>
      </c>
      <c r="M82" s="39">
        <f>M72*'Operating model'!M17</f>
        <v>1592.5326987982212</v>
      </c>
      <c r="N82" s="39">
        <f>N72*'Operating model'!N17</f>
        <v>1681.8086061738659</v>
      </c>
      <c r="O82" s="39">
        <f>O72*'Operating model'!O17</f>
        <v>1732.262864359082</v>
      </c>
    </row>
    <row r="83" spans="1:15" x14ac:dyDescent="0.2">
      <c r="A83" t="s">
        <v>224</v>
      </c>
      <c r="B83" s="42"/>
      <c r="C83" s="39">
        <f>C73*'Operating model'!C17</f>
        <v>294.70600000000002</v>
      </c>
      <c r="D83" s="39">
        <f>D73*'Operating model'!D17</f>
        <v>335.56400000000002</v>
      </c>
      <c r="E83" s="39">
        <f>E73*'Operating model'!E17</f>
        <v>347.99</v>
      </c>
      <c r="F83" s="39">
        <f>F73*'Operating model'!F17</f>
        <v>527.5</v>
      </c>
      <c r="G83" s="39">
        <f>G73*'Operating model'!G17</f>
        <v>691.35980778072417</v>
      </c>
      <c r="H83" s="39">
        <f>H73*'Operating model'!H17</f>
        <v>854.57618463144127</v>
      </c>
      <c r="I83" s="39">
        <f>I73*'Operating model'!I17</f>
        <v>1014.1924400139108</v>
      </c>
      <c r="J83" s="39">
        <f>J73*'Operating model'!J17</f>
        <v>1173.4193035337555</v>
      </c>
      <c r="K83" s="39">
        <f>K73*'Operating model'!K17</f>
        <v>1329.0214729633619</v>
      </c>
      <c r="L83" s="39">
        <f>L73*'Operating model'!L17</f>
        <v>1471.9151559193715</v>
      </c>
      <c r="M83" s="39">
        <f>M73*'Operating model'!M17</f>
        <v>1592.5326987982212</v>
      </c>
      <c r="N83" s="39">
        <f>N73*'Operating model'!N17</f>
        <v>1681.8086061738659</v>
      </c>
      <c r="O83" s="39">
        <f>O73*'Operating model'!O17</f>
        <v>1732.262864359082</v>
      </c>
    </row>
    <row r="84" spans="1:15" x14ac:dyDescent="0.2">
      <c r="B84" s="42"/>
      <c r="C84" s="42"/>
      <c r="D84" s="42"/>
      <c r="E84" s="42"/>
      <c r="F84" s="42"/>
      <c r="G84" s="42"/>
      <c r="H84" s="42"/>
      <c r="I84" s="42"/>
      <c r="J84" s="42"/>
      <c r="K84" s="42"/>
      <c r="L84" s="42"/>
      <c r="M84" s="42"/>
      <c r="N84" s="42"/>
      <c r="O84" s="42"/>
    </row>
    <row r="85" spans="1:15" x14ac:dyDescent="0.2">
      <c r="A85" s="42" t="s">
        <v>210</v>
      </c>
      <c r="C85" s="44">
        <f>C78+C79+C80-C81-C82-C83</f>
        <v>1448.723</v>
      </c>
      <c r="D85" s="44">
        <f t="shared" ref="D85:O85" si="53">D78+D79+D80-D81-D82-D83</f>
        <v>1579.2319999999993</v>
      </c>
      <c r="E85" s="44">
        <f t="shared" si="53"/>
        <v>2584.8180000000002</v>
      </c>
      <c r="F85" s="44">
        <f t="shared" si="53"/>
        <v>3049.0945205479456</v>
      </c>
      <c r="G85" s="44">
        <f t="shared" si="53"/>
        <v>3973.8982923944091</v>
      </c>
      <c r="H85" s="44">
        <f t="shared" si="53"/>
        <v>4884.4296887071578</v>
      </c>
      <c r="I85" s="44">
        <f t="shared" si="53"/>
        <v>5763.947390588648</v>
      </c>
      <c r="J85" s="44">
        <f t="shared" si="53"/>
        <v>6630.9442615581465</v>
      </c>
      <c r="K85" s="44">
        <f t="shared" si="53"/>
        <v>7467.2801006938689</v>
      </c>
      <c r="L85" s="44">
        <f t="shared" si="53"/>
        <v>8222.5616518345159</v>
      </c>
      <c r="M85" s="44">
        <f t="shared" si="53"/>
        <v>8896.3675968481457</v>
      </c>
      <c r="N85" s="44">
        <f t="shared" si="53"/>
        <v>9395.0897205164729</v>
      </c>
      <c r="O85" s="44">
        <f t="shared" si="53"/>
        <v>9676.942412131968</v>
      </c>
    </row>
    <row r="86" spans="1:15" x14ac:dyDescent="0.2">
      <c r="A86" s="42" t="s">
        <v>161</v>
      </c>
      <c r="C86" s="44"/>
      <c r="D86" s="44">
        <f>D85-C85</f>
        <v>130.50899999999933</v>
      </c>
      <c r="E86" s="44">
        <f t="shared" ref="E86:O86" si="54">E85-D85</f>
        <v>1005.5860000000009</v>
      </c>
      <c r="F86" s="44">
        <f t="shared" si="54"/>
        <v>464.27652054794544</v>
      </c>
      <c r="G86" s="44">
        <f t="shared" si="54"/>
        <v>924.80377184646341</v>
      </c>
      <c r="H86" s="44">
        <f t="shared" si="54"/>
        <v>910.53139631274871</v>
      </c>
      <c r="I86" s="44">
        <f t="shared" si="54"/>
        <v>879.51770188149021</v>
      </c>
      <c r="J86" s="44">
        <f t="shared" si="54"/>
        <v>866.99687096949856</v>
      </c>
      <c r="K86" s="44">
        <f t="shared" si="54"/>
        <v>836.33583913572238</v>
      </c>
      <c r="L86" s="44">
        <f t="shared" si="54"/>
        <v>755.28155114064703</v>
      </c>
      <c r="M86" s="44">
        <f t="shared" si="54"/>
        <v>673.80594501362975</v>
      </c>
      <c r="N86" s="44">
        <f t="shared" si="54"/>
        <v>498.72212366832719</v>
      </c>
      <c r="O86" s="44">
        <f t="shared" si="54"/>
        <v>281.85269161549513</v>
      </c>
    </row>
  </sheetData>
  <pageMargins left="0.7" right="0.7" top="0.75" bottom="0.75" header="0.3" footer="0.3"/>
  <pageSetup paperSize="9" orientation="portrait" horizontalDpi="0" verticalDpi="0"/>
  <ignoredErrors>
    <ignoredError sqref="C36:E36" formulaRange="1"/>
    <ignoredError sqref="M35:O35" formula="1"/>
  </ignoredErrors>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F38B6D-045C-8941-A66D-AABDD60BFFE6}">
  <dimension ref="A2:T32"/>
  <sheetViews>
    <sheetView showGridLines="0" workbookViewId="0">
      <selection activeCell="B4" sqref="B4"/>
    </sheetView>
  </sheetViews>
  <sheetFormatPr baseColWidth="10" defaultRowHeight="15" x14ac:dyDescent="0.2"/>
  <cols>
    <col min="1" max="1" width="20.5" bestFit="1" customWidth="1"/>
    <col min="3" max="3" width="10.83203125" customWidth="1"/>
  </cols>
  <sheetData>
    <row r="2" spans="1:20" x14ac:dyDescent="0.2">
      <c r="A2" s="12" t="s">
        <v>267</v>
      </c>
      <c r="B2" s="12"/>
      <c r="C2" s="12"/>
      <c r="D2" s="12"/>
      <c r="E2" s="12"/>
      <c r="F2" s="106"/>
    </row>
    <row r="4" spans="1:20" x14ac:dyDescent="0.2">
      <c r="A4" s="42" t="s">
        <v>269</v>
      </c>
      <c r="B4" t="s">
        <v>268</v>
      </c>
    </row>
    <row r="5" spans="1:20" x14ac:dyDescent="0.2">
      <c r="A5" t="s">
        <v>270</v>
      </c>
      <c r="B5">
        <f>IF($B$6&lt;&gt;"",$B$6,IFERROR(MATCH($B$4,$B$8:$D$8,0),2))</f>
        <v>2</v>
      </c>
    </row>
    <row r="6" spans="1:20" x14ac:dyDescent="0.2">
      <c r="A6" t="s">
        <v>271</v>
      </c>
    </row>
    <row r="8" spans="1:20" x14ac:dyDescent="0.2">
      <c r="A8" s="42" t="s">
        <v>274</v>
      </c>
      <c r="B8" s="42" t="s">
        <v>272</v>
      </c>
      <c r="C8" s="42" t="s">
        <v>268</v>
      </c>
      <c r="D8" s="42" t="s">
        <v>273</v>
      </c>
      <c r="E8" s="42" t="s">
        <v>275</v>
      </c>
      <c r="S8" s="39"/>
      <c r="T8" s="40"/>
    </row>
    <row r="9" spans="1:20" x14ac:dyDescent="0.2">
      <c r="A9" t="s">
        <v>276</v>
      </c>
      <c r="B9" s="43">
        <v>-1.4999999999999999E-2</v>
      </c>
      <c r="C9" s="43">
        <v>0</v>
      </c>
      <c r="D9" s="43">
        <v>1.4999999999999999E-2</v>
      </c>
      <c r="E9" s="40" cm="1">
        <f t="array" ref="E9">INDEX(B9:D9,$B$5)</f>
        <v>0</v>
      </c>
    </row>
    <row r="10" spans="1:20" x14ac:dyDescent="0.2">
      <c r="A10" t="s">
        <v>277</v>
      </c>
      <c r="B10" s="43">
        <v>0.13</v>
      </c>
      <c r="C10" s="43">
        <v>0.20499999999999999</v>
      </c>
      <c r="D10" s="43">
        <v>0.26</v>
      </c>
      <c r="E10" s="40" cm="1">
        <f t="array" ref="E10">INDEX(B10:D10,$B$5)</f>
        <v>0.20499999999999999</v>
      </c>
    </row>
    <row r="11" spans="1:20" x14ac:dyDescent="0.2">
      <c r="A11" t="s">
        <v>278</v>
      </c>
      <c r="B11" s="43">
        <v>0.09</v>
      </c>
      <c r="C11" s="43">
        <v>0.17</v>
      </c>
      <c r="D11" s="43">
        <v>0.22</v>
      </c>
      <c r="E11" s="40" cm="1">
        <f t="array" ref="E11">INDEX(B11:D11,$B$5)</f>
        <v>0.17</v>
      </c>
    </row>
    <row r="12" spans="1:20" x14ac:dyDescent="0.2">
      <c r="A12" t="s">
        <v>279</v>
      </c>
      <c r="B12" s="43">
        <v>0.41499999999999998</v>
      </c>
      <c r="C12" s="43">
        <v>0.44500000000000001</v>
      </c>
      <c r="D12" s="43">
        <v>0.46500000000000002</v>
      </c>
      <c r="E12" s="40" cm="1">
        <f t="array" ref="E12">INDEX(B12:D12,$B$5)</f>
        <v>0.44500000000000001</v>
      </c>
    </row>
    <row r="13" spans="1:20" x14ac:dyDescent="0.2">
      <c r="A13" t="s">
        <v>280</v>
      </c>
      <c r="B13" s="43">
        <v>0.10199999999999999</v>
      </c>
      <c r="C13" s="43">
        <v>9.1999999999999998E-2</v>
      </c>
      <c r="D13" s="43">
        <v>8.6999999999999994E-2</v>
      </c>
      <c r="E13" s="40" cm="1">
        <f t="array" ref="E13">INDEX(B13:D13,$B$5)</f>
        <v>9.1999999999999998E-2</v>
      </c>
    </row>
    <row r="14" spans="1:20" x14ac:dyDescent="0.2">
      <c r="A14" t="s">
        <v>181</v>
      </c>
      <c r="B14" s="43">
        <v>2.5000000000000001E-2</v>
      </c>
      <c r="C14" s="43">
        <v>0.03</v>
      </c>
      <c r="D14" s="43">
        <v>3.5000000000000003E-2</v>
      </c>
      <c r="E14" s="40" cm="1">
        <f t="array" ref="E14">INDEX(B14:D14,$B$5)</f>
        <v>0.03</v>
      </c>
    </row>
    <row r="15" spans="1:20" x14ac:dyDescent="0.2">
      <c r="F15" s="40"/>
    </row>
    <row r="18" spans="1:3" x14ac:dyDescent="0.2">
      <c r="A18" s="119" t="s">
        <v>267</v>
      </c>
      <c r="B18" s="119" t="s">
        <v>263</v>
      </c>
      <c r="C18" s="119" t="s">
        <v>235</v>
      </c>
    </row>
    <row r="19" spans="1:3" x14ac:dyDescent="0.2">
      <c r="A19" s="119"/>
      <c r="B19" s="119"/>
      <c r="C19" s="119"/>
    </row>
    <row r="20" spans="1:3" x14ac:dyDescent="0.2">
      <c r="A20" s="119"/>
      <c r="B20" s="120">
        <f>DCF!$C$45</f>
        <v>241.20468942703616</v>
      </c>
      <c r="C20" s="121">
        <f>'Operating model'!$C$4</f>
        <v>0.2302001339431804</v>
      </c>
    </row>
    <row r="21" spans="1:3" x14ac:dyDescent="0.2">
      <c r="A21" s="119">
        <v>1</v>
      </c>
      <c r="B21" s="120">
        <f t="dataTable" ref="B21:C23" dt2D="0" dtr="0" r1="B6"/>
        <v>141.90742547922082</v>
      </c>
      <c r="C21" s="121">
        <v>0.17817015399633612</v>
      </c>
    </row>
    <row r="22" spans="1:3" x14ac:dyDescent="0.2">
      <c r="A22" s="119">
        <v>2</v>
      </c>
      <c r="B22" s="120">
        <v>241.20468942703616</v>
      </c>
      <c r="C22" s="121">
        <v>0.2302001339431804</v>
      </c>
    </row>
    <row r="23" spans="1:3" x14ac:dyDescent="0.2">
      <c r="A23" s="119">
        <v>3</v>
      </c>
      <c r="B23" s="120">
        <v>357.40597833287029</v>
      </c>
      <c r="C23" s="121">
        <v>0.26660950129516958</v>
      </c>
    </row>
    <row r="28" spans="1:3" x14ac:dyDescent="0.2">
      <c r="A28" t="s">
        <v>288</v>
      </c>
      <c r="C28" s="40">
        <v>0.15</v>
      </c>
    </row>
    <row r="29" spans="1:3" x14ac:dyDescent="0.2">
      <c r="A29" t="s">
        <v>285</v>
      </c>
      <c r="C29" s="39">
        <v>295</v>
      </c>
    </row>
    <row r="31" spans="1:3" x14ac:dyDescent="0.2">
      <c r="A31" t="s">
        <v>287</v>
      </c>
      <c r="C31" s="40">
        <f>($C$29-$B$21*C28-$B$22*(1-C28))/($B$23-$B$22)</f>
        <v>0.59112855642074902</v>
      </c>
    </row>
    <row r="32" spans="1:3" x14ac:dyDescent="0.2">
      <c r="A32" t="s">
        <v>286</v>
      </c>
      <c r="C32" s="40">
        <f>1-C28-C31</f>
        <v>0.25887144357925096</v>
      </c>
    </row>
  </sheetData>
  <dataValidations count="1">
    <dataValidation type="list" allowBlank="1" showInputMessage="1" showErrorMessage="1" sqref="B4" xr:uid="{58540003-BB4E-CF45-B054-0BC17D8B817B}">
      <formula1>"Bear,Base,Bull"</formula1>
    </dataValidation>
  </dataValidation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0391FE-ED3A-DE49-85F4-991C388F7144}">
  <dimension ref="A2:X57"/>
  <sheetViews>
    <sheetView showGridLines="0" topLeftCell="A12" zoomScaleNormal="100" workbookViewId="0">
      <selection activeCell="I47" sqref="I47"/>
    </sheetView>
  </sheetViews>
  <sheetFormatPr baseColWidth="10" defaultRowHeight="15" x14ac:dyDescent="0.2"/>
  <cols>
    <col min="1" max="1" width="16.5" bestFit="1" customWidth="1"/>
    <col min="18" max="18" width="13.83203125" bestFit="1" customWidth="1"/>
  </cols>
  <sheetData>
    <row r="2" spans="1:15" x14ac:dyDescent="0.2">
      <c r="A2" s="74" t="s">
        <v>208</v>
      </c>
      <c r="B2" s="73"/>
      <c r="C2" s="73"/>
      <c r="D2" s="73"/>
      <c r="E2" s="73"/>
      <c r="F2" s="73"/>
      <c r="G2" s="73"/>
      <c r="H2" s="73"/>
      <c r="I2" s="73"/>
      <c r="J2" s="73"/>
      <c r="K2" s="73"/>
      <c r="L2" s="73"/>
      <c r="M2" s="73"/>
      <c r="N2" s="73"/>
      <c r="O2" s="73"/>
    </row>
    <row r="4" spans="1:15" x14ac:dyDescent="0.2">
      <c r="A4" s="42" t="s">
        <v>162</v>
      </c>
      <c r="B4" s="29">
        <f>WACC!D17</f>
        <v>0.11828878124435303</v>
      </c>
      <c r="F4" s="40">
        <f xml:space="preserve"> WACC!$D$17</f>
        <v>0.11828878124435303</v>
      </c>
      <c r="G4" s="40">
        <f xml:space="preserve"> $F$4+($B$5-$F$4)*(G8-$F$8)/9</f>
        <v>0.11572262718118474</v>
      </c>
      <c r="H4" s="40">
        <f t="shared" ref="H4:O4" si="0" xml:space="preserve"> $F$4+($B$5-$F$4)*(H8-$F$8)/9</f>
        <v>0.11315647311801644</v>
      </c>
      <c r="I4" s="40">
        <f t="shared" si="0"/>
        <v>0.11059031905484815</v>
      </c>
      <c r="J4" s="40">
        <f t="shared" si="0"/>
        <v>0.10802416499167984</v>
      </c>
      <c r="K4" s="40">
        <f t="shared" si="0"/>
        <v>0.10545801092851155</v>
      </c>
      <c r="L4" s="40">
        <f t="shared" si="0"/>
        <v>0.10289185686534325</v>
      </c>
      <c r="M4" s="40">
        <f t="shared" si="0"/>
        <v>0.10032570280217495</v>
      </c>
      <c r="N4" s="40">
        <f t="shared" si="0"/>
        <v>9.7759548739006663E-2</v>
      </c>
      <c r="O4" s="40">
        <f t="shared" si="0"/>
        <v>9.5193394675838358E-2</v>
      </c>
    </row>
    <row r="5" spans="1:15" x14ac:dyDescent="0.2">
      <c r="A5" s="42" t="s">
        <v>251</v>
      </c>
      <c r="B5" s="29">
        <f>WACC!C36</f>
        <v>9.5193394675838358E-2</v>
      </c>
    </row>
    <row r="6" spans="1:15" x14ac:dyDescent="0.2">
      <c r="A6" s="42" t="s">
        <v>181</v>
      </c>
      <c r="B6" s="29">
        <f>Scenarios!E14</f>
        <v>0.03</v>
      </c>
    </row>
    <row r="8" spans="1:15" x14ac:dyDescent="0.2">
      <c r="A8" s="12"/>
      <c r="B8" s="12"/>
      <c r="C8" s="13">
        <v>2024</v>
      </c>
      <c r="D8" s="13">
        <v>2025</v>
      </c>
      <c r="E8" s="47">
        <v>2026</v>
      </c>
      <c r="F8" s="14">
        <f t="shared" ref="F8:O8" si="1">E8+1</f>
        <v>2027</v>
      </c>
      <c r="G8" s="14">
        <f t="shared" si="1"/>
        <v>2028</v>
      </c>
      <c r="H8" s="14">
        <f t="shared" si="1"/>
        <v>2029</v>
      </c>
      <c r="I8" s="14">
        <f t="shared" si="1"/>
        <v>2030</v>
      </c>
      <c r="J8" s="14">
        <f t="shared" si="1"/>
        <v>2031</v>
      </c>
      <c r="K8" s="14">
        <f t="shared" si="1"/>
        <v>2032</v>
      </c>
      <c r="L8" s="14">
        <f t="shared" si="1"/>
        <v>2033</v>
      </c>
      <c r="M8" s="14">
        <f t="shared" si="1"/>
        <v>2034</v>
      </c>
      <c r="N8" s="14">
        <f t="shared" si="1"/>
        <v>2035</v>
      </c>
      <c r="O8" s="14">
        <f t="shared" si="1"/>
        <v>2036</v>
      </c>
    </row>
    <row r="9" spans="1:15" x14ac:dyDescent="0.2">
      <c r="E9" s="48"/>
    </row>
    <row r="10" spans="1:15" x14ac:dyDescent="0.2">
      <c r="A10" t="s">
        <v>0</v>
      </c>
      <c r="C10" s="39">
        <f>'Operating model'!C17</f>
        <v>4707.6880000000001</v>
      </c>
      <c r="D10" s="39">
        <f>'Operating model'!D17</f>
        <v>5810.1149999999998</v>
      </c>
      <c r="E10" s="82">
        <f>'Operating model'!E17</f>
        <v>7118.1809999999996</v>
      </c>
      <c r="F10" s="39">
        <f>'Operating model'!F17</f>
        <v>10550</v>
      </c>
      <c r="G10" s="39">
        <f>'Operating model'!G17</f>
        <v>13827.196155614483</v>
      </c>
      <c r="H10" s="39">
        <f>'Operating model'!H17</f>
        <v>17091.523692628823</v>
      </c>
      <c r="I10" s="39">
        <f>'Operating model'!I17</f>
        <v>20283.848800278214</v>
      </c>
      <c r="J10" s="39">
        <f>'Operating model'!J17</f>
        <v>23468.386070675107</v>
      </c>
      <c r="K10" s="39">
        <f>'Operating model'!K17</f>
        <v>26580.429459267238</v>
      </c>
      <c r="L10" s="39">
        <f>'Operating model'!L17</f>
        <v>29438.303118387426</v>
      </c>
      <c r="M10" s="39">
        <f>'Operating model'!M17</f>
        <v>31850.653975964422</v>
      </c>
      <c r="N10" s="39">
        <f>'Operating model'!N17</f>
        <v>33636.172123477314</v>
      </c>
      <c r="O10" s="39">
        <f>'Operating model'!O17</f>
        <v>34645.257287181637</v>
      </c>
    </row>
    <row r="11" spans="1:15" x14ac:dyDescent="0.2">
      <c r="D11" s="39"/>
      <c r="E11" s="82"/>
      <c r="F11" s="39"/>
      <c r="G11" s="39"/>
      <c r="H11" s="39"/>
      <c r="I11" s="39"/>
      <c r="J11" s="39"/>
      <c r="K11" s="39"/>
      <c r="L11" s="39"/>
      <c r="M11" s="39"/>
      <c r="N11" s="39"/>
      <c r="O11" s="39"/>
    </row>
    <row r="12" spans="1:15" x14ac:dyDescent="0.2">
      <c r="A12" t="s">
        <v>151</v>
      </c>
      <c r="C12" s="39">
        <f>'Operating model'!C22</f>
        <v>96.120999999999952</v>
      </c>
      <c r="D12" s="39">
        <f>'Operating model'!D22</f>
        <v>289.87799999999964</v>
      </c>
      <c r="E12" s="82">
        <f>'Operating model'!E22</f>
        <v>897.86099999999999</v>
      </c>
      <c r="F12" s="39">
        <f>'Operating model'!F22</f>
        <v>1671.3000000000002</v>
      </c>
      <c r="G12" s="39">
        <f>'Operating model'!G22</f>
        <v>2465.7678310922461</v>
      </c>
      <c r="H12" s="39">
        <f>'Operating model'!H22</f>
        <v>3366.9103893973461</v>
      </c>
      <c r="I12" s="39">
        <f>'Operating model'!I22</f>
        <v>4361.3113408600948</v>
      </c>
      <c r="J12" s="39">
        <f>'Operating model'!J22</f>
        <v>5460.311159110408</v>
      </c>
      <c r="K12" s="39">
        <f>'Operating model'!K22</f>
        <v>6627.3870785106328</v>
      </c>
      <c r="L12" s="39">
        <f>'Operating model'!L22</f>
        <v>7830.5886294910561</v>
      </c>
      <c r="M12" s="39">
        <f>'Operating model'!M22</f>
        <v>8472.2739576065378</v>
      </c>
      <c r="N12" s="39">
        <f>'Operating model'!N22</f>
        <v>8947.2217848449654</v>
      </c>
      <c r="O12" s="39">
        <f>'Operating model'!O22</f>
        <v>9215.6384383903151</v>
      </c>
    </row>
    <row r="13" spans="1:15" x14ac:dyDescent="0.2">
      <c r="E13" s="48"/>
    </row>
    <row r="14" spans="1:15" x14ac:dyDescent="0.2">
      <c r="A14" t="s">
        <v>175</v>
      </c>
      <c r="C14" s="40">
        <f>'Operating model'!C29</f>
        <v>-7.5294452308546742E-2</v>
      </c>
      <c r="D14" s="40">
        <f>'Operating model'!D29</f>
        <v>0.68085919665325279</v>
      </c>
      <c r="E14" s="91">
        <f>'Operating model'!E29</f>
        <v>7.1778496295413774E-2</v>
      </c>
      <c r="F14" s="40">
        <f>'Operating model'!F29</f>
        <v>0.21</v>
      </c>
      <c r="G14" s="40">
        <f>'Operating model'!G29</f>
        <v>0.21</v>
      </c>
      <c r="H14" s="40">
        <f>'Operating model'!H29</f>
        <v>0.21</v>
      </c>
      <c r="I14" s="40">
        <f>'Operating model'!I29</f>
        <v>0.21</v>
      </c>
      <c r="J14" s="40">
        <f>'Operating model'!J29</f>
        <v>0.21</v>
      </c>
      <c r="K14" s="40">
        <f>'Operating model'!K29</f>
        <v>0.21</v>
      </c>
      <c r="L14" s="40">
        <f>'Operating model'!L29</f>
        <v>0.21</v>
      </c>
      <c r="M14" s="40">
        <f>'Operating model'!M29</f>
        <v>0.21</v>
      </c>
      <c r="N14" s="40">
        <f>'Operating model'!N29</f>
        <v>0.21</v>
      </c>
      <c r="O14" s="40">
        <f>'Operating model'!O29</f>
        <v>0.21</v>
      </c>
    </row>
    <row r="15" spans="1:15" x14ac:dyDescent="0.2">
      <c r="E15" s="48"/>
    </row>
    <row r="16" spans="1:15" x14ac:dyDescent="0.2">
      <c r="A16" s="75" t="s">
        <v>209</v>
      </c>
      <c r="B16" s="76"/>
      <c r="C16" s="90">
        <f>C12*(1-C14)</f>
        <v>103.35837805034977</v>
      </c>
      <c r="D16" s="77">
        <f t="shared" ref="D16:O16" si="2">D12*(1-D14)</f>
        <v>92.511897792548282</v>
      </c>
      <c r="E16" s="92">
        <f t="shared" si="2"/>
        <v>833.41388753770343</v>
      </c>
      <c r="F16" s="77">
        <f t="shared" si="2"/>
        <v>1320.3270000000002</v>
      </c>
      <c r="G16" s="77">
        <f t="shared" si="2"/>
        <v>1947.9565865628745</v>
      </c>
      <c r="H16" s="77">
        <f t="shared" si="2"/>
        <v>2659.8592076239033</v>
      </c>
      <c r="I16" s="77">
        <f t="shared" si="2"/>
        <v>3445.4359592794749</v>
      </c>
      <c r="J16" s="77">
        <f t="shared" si="2"/>
        <v>4313.6458156972221</v>
      </c>
      <c r="K16" s="77">
        <f t="shared" si="2"/>
        <v>5235.6357920234004</v>
      </c>
      <c r="L16" s="77">
        <f t="shared" si="2"/>
        <v>6186.1650172979344</v>
      </c>
      <c r="M16" s="77">
        <f t="shared" si="2"/>
        <v>6693.0964265091652</v>
      </c>
      <c r="N16" s="77">
        <f t="shared" si="2"/>
        <v>7068.3052100275227</v>
      </c>
      <c r="O16" s="78">
        <f t="shared" si="2"/>
        <v>7280.354366328349</v>
      </c>
    </row>
    <row r="17" spans="1:24" x14ac:dyDescent="0.2">
      <c r="E17" s="48"/>
    </row>
    <row r="18" spans="1:24" x14ac:dyDescent="0.2">
      <c r="A18" t="s">
        <v>155</v>
      </c>
      <c r="C18" s="39">
        <f>'Operating model'!C41</f>
        <v>554.29399999999998</v>
      </c>
      <c r="D18" s="39">
        <f>'Operating model'!D41</f>
        <v>548.67000000000007</v>
      </c>
      <c r="E18" s="82">
        <f>'Operating model'!E41</f>
        <v>517.52</v>
      </c>
      <c r="F18" s="39">
        <f>'Operating model'!F41</f>
        <v>663.16998702747844</v>
      </c>
      <c r="G18" s="39">
        <f>'Operating model'!G41</f>
        <v>918.18536922187513</v>
      </c>
      <c r="H18" s="39">
        <f>'Operating model'!H41</f>
        <v>1254.8459306845298</v>
      </c>
      <c r="I18" s="39">
        <f>'Operating model'!I41</f>
        <v>1449.7771838044337</v>
      </c>
      <c r="J18" s="39">
        <f>'Operating model'!J41</f>
        <v>1633.8240707477489</v>
      </c>
      <c r="K18" s="39">
        <f>'Operating model'!K41</f>
        <v>1825.5778209868245</v>
      </c>
      <c r="L18" s="39">
        <f>'Operating model'!L41</f>
        <v>2016.2430952781622</v>
      </c>
      <c r="M18" s="39">
        <f>'Operating model'!M41</f>
        <v>2191.3361762755476</v>
      </c>
      <c r="N18" s="39">
        <f>'Operating model'!N41</f>
        <v>2339.1334530207605</v>
      </c>
      <c r="O18" s="39">
        <f>'Operating model'!O41</f>
        <v>2448.5266281273966</v>
      </c>
    </row>
    <row r="19" spans="1:24" x14ac:dyDescent="0.2">
      <c r="E19" s="48"/>
    </row>
    <row r="20" spans="1:24" x14ac:dyDescent="0.2">
      <c r="A20" t="s">
        <v>159</v>
      </c>
      <c r="C20" s="80">
        <f>'Operating model'!C47</f>
        <v>-346.81599999999997</v>
      </c>
      <c r="D20" s="39">
        <f>'Operating model'!D47</f>
        <v>-440.83600000000001</v>
      </c>
      <c r="E20" s="82">
        <f>'Operating model'!E47</f>
        <v>-1102.9090000000001</v>
      </c>
      <c r="F20" s="39">
        <f>'Operating model'!F47</f>
        <v>-2637.5</v>
      </c>
      <c r="G20" s="39">
        <f>'Operating model'!G47</f>
        <v>-3180.2551157913313</v>
      </c>
      <c r="H20" s="39">
        <f>'Operating model'!H47</f>
        <v>-2552.2826149770726</v>
      </c>
      <c r="I20" s="39">
        <f>'Operating model'!I47</f>
        <v>-2717.9909969708101</v>
      </c>
      <c r="J20" s="39">
        <f>'Operating model'!J47</f>
        <v>-2909.866389984365</v>
      </c>
      <c r="K20" s="39">
        <f>'Operating model'!K47</f>
        <v>-3070.4522441259342</v>
      </c>
      <c r="L20" s="39">
        <f>'Operating model'!L47</f>
        <v>-3140.0843139068234</v>
      </c>
      <c r="M20" s="39">
        <f>'Operating model'!M47</f>
        <v>-3103.0236798836409</v>
      </c>
      <c r="N20" s="39">
        <f>'Operating model'!N47</f>
        <v>-2952.3291899316614</v>
      </c>
      <c r="O20" s="39">
        <f>'Operating model'!O47</f>
        <v>-2878.4087918831242</v>
      </c>
    </row>
    <row r="21" spans="1:24" x14ac:dyDescent="0.2">
      <c r="E21" s="48"/>
    </row>
    <row r="22" spans="1:24" x14ac:dyDescent="0.2">
      <c r="A22" t="s">
        <v>161</v>
      </c>
      <c r="D22" s="80">
        <f>'Operating model'!D55</f>
        <v>130.50899999999933</v>
      </c>
      <c r="E22" s="93">
        <f>'Operating model'!E55</f>
        <v>1005.5860000000009</v>
      </c>
      <c r="F22" s="80">
        <f>'Operating model'!F55</f>
        <v>464.27652054794544</v>
      </c>
      <c r="G22" s="80">
        <f>'Operating model'!G55</f>
        <v>924.80377184646341</v>
      </c>
      <c r="H22" s="80">
        <f>'Operating model'!H55</f>
        <v>910.53139631274871</v>
      </c>
      <c r="I22" s="80">
        <f>'Operating model'!I55</f>
        <v>879.51770188149021</v>
      </c>
      <c r="J22" s="80">
        <f>'Operating model'!J55</f>
        <v>866.99687096949856</v>
      </c>
      <c r="K22" s="80">
        <f>'Operating model'!K55</f>
        <v>836.33583913572238</v>
      </c>
      <c r="L22" s="80">
        <f>'Operating model'!L55</f>
        <v>755.28155114064703</v>
      </c>
      <c r="M22" s="80">
        <f>'Operating model'!M55</f>
        <v>673.80594501362975</v>
      </c>
      <c r="N22" s="80">
        <f>'Operating model'!N55</f>
        <v>498.72212366832719</v>
      </c>
      <c r="O22" s="80">
        <f>'Operating model'!O55</f>
        <v>281.85269161549513</v>
      </c>
    </row>
    <row r="23" spans="1:24" x14ac:dyDescent="0.2">
      <c r="E23" s="48"/>
    </row>
    <row r="24" spans="1:24" x14ac:dyDescent="0.2">
      <c r="A24" s="45" t="s">
        <v>211</v>
      </c>
      <c r="B24" s="22"/>
      <c r="C24" s="22"/>
      <c r="D24" s="66">
        <f>D16+D18+D20-D22</f>
        <v>69.836897792549053</v>
      </c>
      <c r="E24" s="95">
        <f t="shared" ref="E24:O24" si="3">E16+E18+E20-E22</f>
        <v>-757.56111246229761</v>
      </c>
      <c r="F24" s="66">
        <f t="shared" si="3"/>
        <v>-1118.2795335204669</v>
      </c>
      <c r="G24" s="66">
        <f t="shared" si="3"/>
        <v>-1238.9169318530453</v>
      </c>
      <c r="H24" s="66">
        <f t="shared" si="3"/>
        <v>451.89112701861177</v>
      </c>
      <c r="I24" s="66">
        <f t="shared" si="3"/>
        <v>1297.7044442316087</v>
      </c>
      <c r="J24" s="66">
        <f t="shared" si="3"/>
        <v>2170.6066254911075</v>
      </c>
      <c r="K24" s="66">
        <f t="shared" si="3"/>
        <v>3154.4255297485679</v>
      </c>
      <c r="L24" s="66">
        <f t="shared" si="3"/>
        <v>4307.0422475286259</v>
      </c>
      <c r="M24" s="66">
        <f t="shared" si="3"/>
        <v>5107.6029778874417</v>
      </c>
      <c r="N24" s="66">
        <f t="shared" si="3"/>
        <v>5956.3873494482959</v>
      </c>
      <c r="O24" s="67">
        <f t="shared" si="3"/>
        <v>6568.6195109571254</v>
      </c>
    </row>
    <row r="25" spans="1:24" x14ac:dyDescent="0.2">
      <c r="A25" s="46" t="s">
        <v>226</v>
      </c>
      <c r="B25" s="94"/>
      <c r="C25" s="94"/>
      <c r="D25" s="94"/>
      <c r="E25" s="96"/>
      <c r="F25" s="97">
        <f t="shared" ref="F25:O25" si="4">F24/F27</f>
        <v>-999.99173046887245</v>
      </c>
      <c r="G25" s="97">
        <f t="shared" si="4"/>
        <v>-992.96051581179722</v>
      </c>
      <c r="H25" s="97">
        <f t="shared" si="4"/>
        <v>325.36241952504389</v>
      </c>
      <c r="I25" s="97">
        <f t="shared" si="4"/>
        <v>841.3089006545722</v>
      </c>
      <c r="J25" s="97">
        <f t="shared" si="4"/>
        <v>1270.0229935512884</v>
      </c>
      <c r="K25" s="97">
        <f t="shared" si="4"/>
        <v>1669.584819375011</v>
      </c>
      <c r="L25" s="97">
        <f t="shared" si="4"/>
        <v>2066.9711260428371</v>
      </c>
      <c r="M25" s="97">
        <f t="shared" si="4"/>
        <v>2227.6715159178912</v>
      </c>
      <c r="N25" s="97">
        <f t="shared" si="4"/>
        <v>2366.5175493480483</v>
      </c>
      <c r="O25" s="98">
        <f t="shared" si="4"/>
        <v>2382.9234273169754</v>
      </c>
    </row>
    <row r="27" spans="1:24" x14ac:dyDescent="0.2">
      <c r="A27" t="s">
        <v>252</v>
      </c>
      <c r="F27" s="40">
        <f>1+F4</f>
        <v>1.1182887812443529</v>
      </c>
      <c r="G27" s="40">
        <f t="shared" ref="G27:O27" si="5" xml:space="preserve"> F27*(1+G4)</f>
        <v>1.2477000969571945</v>
      </c>
      <c r="H27" s="40">
        <f t="shared" si="5"/>
        <v>1.3888854394378778</v>
      </c>
      <c r="I27" s="40">
        <f t="shared" si="5"/>
        <v>1.5424827233159455</v>
      </c>
      <c r="J27" s="40">
        <f t="shared" si="5"/>
        <v>1.7091081315162426</v>
      </c>
      <c r="K27" s="40">
        <f t="shared" si="5"/>
        <v>1.8893472755276903</v>
      </c>
      <c r="L27" s="40">
        <f t="shared" si="5"/>
        <v>2.0837457249702114</v>
      </c>
      <c r="M27" s="40">
        <f t="shared" si="5"/>
        <v>2.2927989792888752</v>
      </c>
      <c r="N27" s="40">
        <f t="shared" si="5"/>
        <v>2.5169419728534108</v>
      </c>
      <c r="O27" s="40">
        <f t="shared" si="5"/>
        <v>2.7565382234514288</v>
      </c>
    </row>
    <row r="31" spans="1:24" x14ac:dyDescent="0.2">
      <c r="A31" t="s">
        <v>227</v>
      </c>
      <c r="C31" s="39">
        <f>(O24*(1+B6))/(B5-B6)</f>
        <v>103778.58262983352</v>
      </c>
      <c r="R31" s="109" t="s">
        <v>289</v>
      </c>
      <c r="S31" s="109"/>
      <c r="T31" s="109"/>
      <c r="U31" s="109"/>
      <c r="V31" s="109"/>
      <c r="W31" s="109"/>
      <c r="X31" s="109"/>
    </row>
    <row r="32" spans="1:24" x14ac:dyDescent="0.2">
      <c r="A32" t="s">
        <v>228</v>
      </c>
      <c r="C32" s="39">
        <f>C31/O27</f>
        <v>37648.156570777959</v>
      </c>
    </row>
    <row r="33" spans="1:24" x14ac:dyDescent="0.2">
      <c r="A33" t="s">
        <v>229</v>
      </c>
      <c r="C33" s="39">
        <f>SUM(F25:O25)</f>
        <v>11157.410505450996</v>
      </c>
      <c r="T33" s="42" t="s">
        <v>181</v>
      </c>
    </row>
    <row r="34" spans="1:24" x14ac:dyDescent="0.2">
      <c r="S34" s="108">
        <f>C45</f>
        <v>241.20468942703616</v>
      </c>
      <c r="T34" s="40">
        <v>2.5000000000000001E-2</v>
      </c>
      <c r="U34" s="40">
        <v>2.75E-2</v>
      </c>
      <c r="V34" s="40">
        <v>0.03</v>
      </c>
      <c r="W34" s="40">
        <v>3.2500000000000001E-2</v>
      </c>
      <c r="X34" s="40">
        <v>3.5000000000000003E-2</v>
      </c>
    </row>
    <row r="35" spans="1:24" x14ac:dyDescent="0.2">
      <c r="A35" s="44" t="s">
        <v>230</v>
      </c>
      <c r="B35" s="44"/>
      <c r="C35" s="44">
        <f>C32+C33</f>
        <v>48805.567076228952</v>
      </c>
      <c r="R35" s="42" t="s">
        <v>266</v>
      </c>
      <c r="S35" s="40">
        <v>8.5199999999999998E-2</v>
      </c>
      <c r="T35" s="110">
        <f t="dataTable" ref="T35:X39" dt2D="1" dtr="1" r1="B6" r2="B5" ca="1"/>
        <v>269.98753952243942</v>
      </c>
      <c r="U35" s="111">
        <v>278.77613034821871</v>
      </c>
      <c r="V35" s="111">
        <v>288.35959665276857</v>
      </c>
      <c r="W35" s="111">
        <v>298.85105935170293</v>
      </c>
      <c r="X35" s="112">
        <v>310.38617340621067</v>
      </c>
    </row>
    <row r="36" spans="1:24" x14ac:dyDescent="0.2">
      <c r="S36" s="40">
        <v>9.0200000000000002E-2</v>
      </c>
      <c r="T36" s="113">
        <v>247.74151754279393</v>
      </c>
      <c r="U36" s="110">
        <v>254.97693136934748</v>
      </c>
      <c r="V36" s="111">
        <v>262.81222550114649</v>
      </c>
      <c r="W36" s="112">
        <v>271.32537239549055</v>
      </c>
      <c r="X36" s="114">
        <v>280.60846995363676</v>
      </c>
    </row>
    <row r="37" spans="1:24" x14ac:dyDescent="0.2">
      <c r="A37" t="s">
        <v>231</v>
      </c>
      <c r="C37" s="64">
        <f>'Consolidated Balance Sheet'!C6+'Consolidated Balance Sheet'!C8</f>
        <v>1987.018</v>
      </c>
      <c r="S37" s="40">
        <v>9.5200000000000007E-2</v>
      </c>
      <c r="T37" s="113">
        <v>228.6608738392537</v>
      </c>
      <c r="U37" s="113">
        <v>234.688928846137</v>
      </c>
      <c r="V37" s="122">
        <v>241.17829548605613</v>
      </c>
      <c r="W37" s="114">
        <v>248.18415315331023</v>
      </c>
      <c r="X37" s="114">
        <v>255.77084725346398</v>
      </c>
    </row>
    <row r="38" spans="1:24" x14ac:dyDescent="0.2">
      <c r="A38" t="s">
        <v>169</v>
      </c>
      <c r="C38" s="64">
        <f>'Consolidated Balance Sheet'!C23+'Consolidated Balance Sheet'!C30</f>
        <v>3222.2240000000002</v>
      </c>
      <c r="S38" s="40">
        <v>0.1002</v>
      </c>
      <c r="T38" s="113">
        <v>212.11432340759632</v>
      </c>
      <c r="U38" s="115">
        <v>217.18778655478442</v>
      </c>
      <c r="V38" s="116">
        <v>222.62173465156138</v>
      </c>
      <c r="W38" s="117">
        <v>228.45610196852255</v>
      </c>
      <c r="X38" s="114">
        <v>234.73694766342331</v>
      </c>
    </row>
    <row r="39" spans="1:24" x14ac:dyDescent="0.2">
      <c r="A39" t="s">
        <v>240</v>
      </c>
      <c r="C39" s="64">
        <f>'Consolidated Balance Sheet'!C44</f>
        <v>334.70499999999998</v>
      </c>
      <c r="S39" s="40">
        <v>0.1052</v>
      </c>
      <c r="T39" s="115">
        <v>197.62800621544594</v>
      </c>
      <c r="U39" s="116">
        <v>201.93560960132419</v>
      </c>
      <c r="V39" s="116">
        <v>206.52882729363404</v>
      </c>
      <c r="W39" s="116">
        <v>211.43712315020662</v>
      </c>
      <c r="X39" s="117">
        <v>216.69415815874257</v>
      </c>
    </row>
    <row r="41" spans="1:24" x14ac:dyDescent="0.2">
      <c r="A41" s="42" t="s">
        <v>232</v>
      </c>
      <c r="C41" s="39">
        <f>C35+C37-C38-C39</f>
        <v>47235.656076228945</v>
      </c>
    </row>
    <row r="43" spans="1:24" x14ac:dyDescent="0.2">
      <c r="A43" t="s">
        <v>233</v>
      </c>
      <c r="C43" s="41">
        <v>195.832246</v>
      </c>
    </row>
    <row r="45" spans="1:24" x14ac:dyDescent="0.2">
      <c r="A45" s="42" t="s">
        <v>234</v>
      </c>
      <c r="C45" s="44">
        <f>C41/C43</f>
        <v>241.20468942703616</v>
      </c>
    </row>
    <row r="48" spans="1:24" x14ac:dyDescent="0.2">
      <c r="H48" s="40"/>
    </row>
    <row r="49" spans="1:8" x14ac:dyDescent="0.2">
      <c r="A49" s="42"/>
    </row>
    <row r="50" spans="1:8" x14ac:dyDescent="0.2">
      <c r="C50" s="108"/>
      <c r="D50" s="40"/>
      <c r="E50" s="40"/>
      <c r="F50" s="40"/>
      <c r="G50" s="40"/>
      <c r="H50" s="40"/>
    </row>
    <row r="51" spans="1:8" x14ac:dyDescent="0.2">
      <c r="C51" s="40"/>
      <c r="D51" s="39"/>
      <c r="E51" s="39"/>
      <c r="F51" s="39"/>
      <c r="G51" s="39"/>
      <c r="H51" s="39"/>
    </row>
    <row r="52" spans="1:8" x14ac:dyDescent="0.2">
      <c r="C52" s="40"/>
      <c r="D52" s="39"/>
      <c r="E52" s="39"/>
      <c r="F52" s="39"/>
      <c r="G52" s="39"/>
      <c r="H52" s="39"/>
    </row>
    <row r="53" spans="1:8" x14ac:dyDescent="0.2">
      <c r="C53" s="40"/>
      <c r="D53" s="39"/>
      <c r="E53" s="39"/>
      <c r="F53" s="39"/>
      <c r="G53" s="39"/>
      <c r="H53" s="39"/>
    </row>
    <row r="54" spans="1:8" x14ac:dyDescent="0.2">
      <c r="C54" s="40"/>
      <c r="D54" s="39"/>
      <c r="E54" s="39"/>
      <c r="F54" s="39"/>
      <c r="G54" s="39"/>
      <c r="H54" s="39"/>
    </row>
    <row r="55" spans="1:8" x14ac:dyDescent="0.2">
      <c r="C55" s="40"/>
      <c r="D55" s="39"/>
      <c r="E55" s="39"/>
      <c r="F55" s="39"/>
      <c r="G55" s="39"/>
      <c r="H55" s="39"/>
    </row>
    <row r="56" spans="1:8" x14ac:dyDescent="0.2">
      <c r="C56" s="40"/>
    </row>
    <row r="57" spans="1:8" x14ac:dyDescent="0.2">
      <c r="B57" s="40"/>
    </row>
  </sheetData>
  <pageMargins left="0.7" right="0.7" top="0.75" bottom="0.75" header="0.3" footer="0.3"/>
  <pageSetup paperSize="9" orientation="portrait" horizontalDpi="0" verticalDpi="0"/>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842975-810D-3648-A2BB-48FCACACE707}">
  <dimension ref="A2:F45"/>
  <sheetViews>
    <sheetView showGridLines="0" topLeftCell="A6" workbookViewId="0">
      <selection activeCell="F37" sqref="F37"/>
    </sheetView>
  </sheetViews>
  <sheetFormatPr baseColWidth="10" defaultRowHeight="15" x14ac:dyDescent="0.2"/>
  <sheetData>
    <row r="2" spans="1:6" x14ac:dyDescent="0.2">
      <c r="A2" t="s">
        <v>239</v>
      </c>
      <c r="C2" s="64">
        <f>WACC!D4</f>
        <v>57770.59</v>
      </c>
    </row>
    <row r="3" spans="1:6" x14ac:dyDescent="0.2">
      <c r="C3" s="39"/>
    </row>
    <row r="4" spans="1:6" x14ac:dyDescent="0.2">
      <c r="A4" t="s">
        <v>169</v>
      </c>
      <c r="C4" s="64">
        <f>DCF!C38</f>
        <v>3222.2240000000002</v>
      </c>
    </row>
    <row r="5" spans="1:6" x14ac:dyDescent="0.2">
      <c r="A5" t="s">
        <v>231</v>
      </c>
      <c r="C5" s="64">
        <f>DCF!C37</f>
        <v>1987.018</v>
      </c>
    </row>
    <row r="6" spans="1:6" x14ac:dyDescent="0.2">
      <c r="A6" t="s">
        <v>240</v>
      </c>
      <c r="C6" s="105">
        <f>DCF!C39</f>
        <v>334.70499999999998</v>
      </c>
    </row>
    <row r="8" spans="1:6" x14ac:dyDescent="0.2">
      <c r="A8" t="s">
        <v>230</v>
      </c>
      <c r="C8" s="39">
        <f>C2+C4+C6-C5</f>
        <v>59340.501000000004</v>
      </c>
      <c r="D8" s="39"/>
    </row>
    <row r="10" spans="1:6" x14ac:dyDescent="0.2">
      <c r="A10" s="12"/>
      <c r="B10" s="13">
        <v>2026</v>
      </c>
      <c r="C10" s="14">
        <v>2027</v>
      </c>
      <c r="D10" s="14">
        <v>2028</v>
      </c>
      <c r="E10" s="100"/>
      <c r="F10" s="101"/>
    </row>
    <row r="12" spans="1:6" x14ac:dyDescent="0.2">
      <c r="A12" s="42" t="s">
        <v>242</v>
      </c>
      <c r="B12" s="39"/>
      <c r="C12" s="39"/>
      <c r="D12" s="39"/>
    </row>
    <row r="13" spans="1:6" x14ac:dyDescent="0.2">
      <c r="A13" t="s">
        <v>243</v>
      </c>
      <c r="B13" s="39">
        <f>C8</f>
        <v>59340.501000000004</v>
      </c>
      <c r="C13" s="39"/>
      <c r="D13" s="39"/>
    </row>
    <row r="14" spans="1:6" x14ac:dyDescent="0.2">
      <c r="A14" t="s">
        <v>244</v>
      </c>
      <c r="C14" s="41">
        <v>2845.1</v>
      </c>
      <c r="D14" s="41">
        <v>4140.07</v>
      </c>
    </row>
    <row r="15" spans="1:6" x14ac:dyDescent="0.2">
      <c r="A15" t="s">
        <v>241</v>
      </c>
      <c r="B15" s="39"/>
      <c r="C15" s="39">
        <f>Estimates!F39+Estimates!F63</f>
        <v>2334.4699870274785</v>
      </c>
      <c r="D15" s="39">
        <f>Estimates!G39+Estimates!G63</f>
        <v>3383.9532003141212</v>
      </c>
    </row>
    <row r="17" spans="1:5" x14ac:dyDescent="0.2">
      <c r="A17" s="44" t="s">
        <v>245</v>
      </c>
      <c r="B17" s="44"/>
      <c r="C17" s="44">
        <f>$B$13/C14</f>
        <v>20.857087975818075</v>
      </c>
      <c r="D17" s="44">
        <f>$B$13/D14</f>
        <v>14.33321199883094</v>
      </c>
    </row>
    <row r="18" spans="1:5" x14ac:dyDescent="0.2">
      <c r="A18" s="44" t="s">
        <v>246</v>
      </c>
      <c r="B18" s="44"/>
      <c r="C18" s="44">
        <f>$B$13/C15</f>
        <v>25.419260615793696</v>
      </c>
      <c r="D18" s="44">
        <f>$B$13/D15</f>
        <v>17.535851558021434</v>
      </c>
    </row>
    <row r="19" spans="1:5" x14ac:dyDescent="0.2">
      <c r="E19" s="39"/>
    </row>
    <row r="20" spans="1:5" x14ac:dyDescent="0.2">
      <c r="A20" s="42" t="s">
        <v>177</v>
      </c>
      <c r="B20" s="39"/>
      <c r="C20" s="39"/>
      <c r="D20" s="39"/>
    </row>
    <row r="21" spans="1:5" x14ac:dyDescent="0.2">
      <c r="A21" t="s">
        <v>243</v>
      </c>
      <c r="B21" s="41">
        <v>82929.850000000006</v>
      </c>
      <c r="C21" s="39"/>
      <c r="D21" s="39"/>
    </row>
    <row r="22" spans="1:5" x14ac:dyDescent="0.2">
      <c r="A22" t="s">
        <v>244</v>
      </c>
      <c r="B22" s="39"/>
      <c r="C22" s="41">
        <v>2782.78</v>
      </c>
      <c r="D22" s="41">
        <v>4396.67</v>
      </c>
    </row>
    <row r="23" spans="1:5" x14ac:dyDescent="0.2">
      <c r="B23" s="39"/>
      <c r="C23" s="39"/>
      <c r="D23" s="39"/>
    </row>
    <row r="24" spans="1:5" x14ac:dyDescent="0.2">
      <c r="A24" s="44" t="s">
        <v>245</v>
      </c>
      <c r="B24" s="44"/>
      <c r="C24" s="44">
        <f>$B$21/C22</f>
        <v>29.80108021474928</v>
      </c>
      <c r="D24" s="44">
        <f>$B$21/D22</f>
        <v>18.861968262344003</v>
      </c>
    </row>
    <row r="26" spans="1:5" x14ac:dyDescent="0.2">
      <c r="A26" s="42" t="s">
        <v>178</v>
      </c>
      <c r="B26" s="39"/>
      <c r="C26" s="39"/>
      <c r="D26" s="39"/>
    </row>
    <row r="27" spans="1:5" x14ac:dyDescent="0.2">
      <c r="A27" t="s">
        <v>243</v>
      </c>
      <c r="B27" s="41">
        <v>16461.150000000001</v>
      </c>
      <c r="C27" s="39"/>
      <c r="D27" s="39"/>
    </row>
    <row r="28" spans="1:5" x14ac:dyDescent="0.2">
      <c r="A28" t="s">
        <v>244</v>
      </c>
      <c r="B28" s="39"/>
      <c r="C28" s="41">
        <v>773.6</v>
      </c>
      <c r="D28" s="41">
        <v>944.63</v>
      </c>
    </row>
    <row r="29" spans="1:5" x14ac:dyDescent="0.2">
      <c r="B29" s="39"/>
      <c r="C29" s="39"/>
      <c r="D29" s="39"/>
    </row>
    <row r="30" spans="1:5" x14ac:dyDescent="0.2">
      <c r="A30" s="44" t="s">
        <v>245</v>
      </c>
      <c r="B30" s="44"/>
      <c r="C30" s="44">
        <f>$B$27/C28</f>
        <v>21.278632368148916</v>
      </c>
      <c r="D30" s="44">
        <f>$B$27/D28</f>
        <v>17.426029238961288</v>
      </c>
    </row>
    <row r="32" spans="1:5" x14ac:dyDescent="0.2">
      <c r="A32" s="42" t="s">
        <v>179</v>
      </c>
      <c r="B32" s="39"/>
      <c r="C32" s="39"/>
      <c r="D32" s="39"/>
    </row>
    <row r="33" spans="1:4" x14ac:dyDescent="0.2">
      <c r="A33" t="s">
        <v>243</v>
      </c>
      <c r="B33" s="41">
        <v>79068.2</v>
      </c>
      <c r="C33" s="39"/>
      <c r="D33" s="39"/>
    </row>
    <row r="34" spans="1:4" x14ac:dyDescent="0.2">
      <c r="A34" t="s">
        <v>244</v>
      </c>
      <c r="C34" s="41">
        <v>1989.95</v>
      </c>
      <c r="D34" s="41">
        <v>2852.84</v>
      </c>
    </row>
    <row r="36" spans="1:4" x14ac:dyDescent="0.2">
      <c r="A36" s="44" t="s">
        <v>245</v>
      </c>
      <c r="B36" s="44"/>
      <c r="C36" s="44">
        <f>$B$33/C34</f>
        <v>39.733762154828007</v>
      </c>
      <c r="D36" s="44">
        <f>$B$33/D34</f>
        <v>27.715609708220576</v>
      </c>
    </row>
    <row r="40" spans="1:4" x14ac:dyDescent="0.2">
      <c r="A40" s="45" t="s">
        <v>248</v>
      </c>
      <c r="B40" s="22"/>
      <c r="C40" s="66">
        <f>AVERAGE(C24,C30,C36)</f>
        <v>30.271158245908737</v>
      </c>
      <c r="D40" s="67">
        <f>AVERAGE(D24,D30,D36)</f>
        <v>21.334535736508624</v>
      </c>
    </row>
    <row r="41" spans="1:4" x14ac:dyDescent="0.2">
      <c r="A41" s="46" t="s">
        <v>247</v>
      </c>
      <c r="B41" s="94"/>
      <c r="C41" s="97">
        <f>MEDIAN(C24,C30,C36)</f>
        <v>29.80108021474928</v>
      </c>
      <c r="D41" s="98">
        <f>MEDIAN(D24,D30,D36)</f>
        <v>18.861968262344003</v>
      </c>
    </row>
    <row r="45" spans="1:4" x14ac:dyDescent="0.2">
      <c r="A45" s="42" t="s">
        <v>249</v>
      </c>
      <c r="B45" s="42"/>
      <c r="C45" s="44">
        <f>DCF!C35/'Cross-check'!D15</f>
        <v>14.422648360414232</v>
      </c>
    </row>
  </sheetData>
  <pageMargins left="0.7" right="0.7" top="0.75" bottom="0.75" header="0.3" footer="0.3"/>
  <legacy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87D9A-868E-AD44-BD1F-F84170F317EB}">
  <dimension ref="A2:O36"/>
  <sheetViews>
    <sheetView showGridLines="0" workbookViewId="0">
      <selection activeCell="J26" sqref="J26"/>
    </sheetView>
  </sheetViews>
  <sheetFormatPr baseColWidth="10" defaultRowHeight="15" x14ac:dyDescent="0.2"/>
  <cols>
    <col min="3" max="3" width="13.6640625" bestFit="1" customWidth="1"/>
  </cols>
  <sheetData>
    <row r="2" spans="1:15" x14ac:dyDescent="0.2">
      <c r="A2" s="74" t="s">
        <v>253</v>
      </c>
      <c r="B2" s="73"/>
      <c r="C2" s="73"/>
      <c r="D2" s="73"/>
      <c r="E2" s="73"/>
      <c r="F2" s="73"/>
      <c r="G2" s="73"/>
      <c r="H2" s="73"/>
      <c r="I2" s="73"/>
      <c r="J2" s="73"/>
    </row>
    <row r="4" spans="1:15" x14ac:dyDescent="0.2">
      <c r="A4" s="12" t="s">
        <v>254</v>
      </c>
      <c r="B4" s="12"/>
      <c r="C4" s="12" t="s">
        <v>230</v>
      </c>
      <c r="D4" s="12"/>
      <c r="E4" s="12" t="s">
        <v>257</v>
      </c>
      <c r="F4" s="12"/>
      <c r="G4" s="12"/>
      <c r="H4" s="12"/>
      <c r="I4" s="12" t="s">
        <v>258</v>
      </c>
      <c r="J4" s="12"/>
      <c r="K4" s="106"/>
      <c r="L4" s="106"/>
      <c r="M4" s="106"/>
      <c r="N4" s="106"/>
      <c r="O4" s="106"/>
    </row>
    <row r="6" spans="1:15" x14ac:dyDescent="0.2">
      <c r="A6" t="s">
        <v>242</v>
      </c>
      <c r="C6" s="39">
        <f>I25*E6</f>
        <v>80392.835007161528</v>
      </c>
      <c r="E6" s="64">
        <f>'Cross-check'!C14</f>
        <v>2845.1</v>
      </c>
    </row>
    <row r="7" spans="1:15" x14ac:dyDescent="0.2">
      <c r="C7" s="39">
        <f>I25*E7</f>
        <v>65964.170150880673</v>
      </c>
      <c r="E7" s="64">
        <f>'Cross-check'!C15</f>
        <v>2334.4699870274785</v>
      </c>
    </row>
    <row r="9" spans="1:15" x14ac:dyDescent="0.2">
      <c r="A9" t="s">
        <v>177</v>
      </c>
      <c r="C9" s="64">
        <f>'Cross-check'!B21</f>
        <v>82929.850000000006</v>
      </c>
      <c r="D9" s="105"/>
      <c r="E9" s="64">
        <f>'Cross-check'!C22</f>
        <v>2782.78</v>
      </c>
      <c r="I9" s="39">
        <f>C9/E9</f>
        <v>29.80108021474928</v>
      </c>
    </row>
    <row r="10" spans="1:15" x14ac:dyDescent="0.2">
      <c r="C10" s="105"/>
      <c r="D10" s="105"/>
      <c r="E10" s="105"/>
      <c r="I10" s="39"/>
    </row>
    <row r="11" spans="1:15" x14ac:dyDescent="0.2">
      <c r="A11" t="s">
        <v>178</v>
      </c>
      <c r="C11" s="64">
        <f>'Cross-check'!B27</f>
        <v>16461.150000000001</v>
      </c>
      <c r="D11" s="105"/>
      <c r="E11" s="64">
        <f>'Cross-check'!C28</f>
        <v>773.6</v>
      </c>
      <c r="I11" s="39">
        <f t="shared" ref="I11:I17" si="0">C11/E11</f>
        <v>21.278632368148916</v>
      </c>
    </row>
    <row r="12" spans="1:15" x14ac:dyDescent="0.2">
      <c r="C12" s="105"/>
      <c r="D12" s="105"/>
      <c r="E12" s="105"/>
      <c r="I12" s="39"/>
    </row>
    <row r="13" spans="1:15" x14ac:dyDescent="0.2">
      <c r="A13" t="s">
        <v>179</v>
      </c>
      <c r="C13" s="64">
        <f>'Cross-check'!B33</f>
        <v>79068.2</v>
      </c>
      <c r="D13" s="105"/>
      <c r="E13" s="64">
        <f>'Cross-check'!C34</f>
        <v>1989.95</v>
      </c>
      <c r="I13" s="39">
        <f t="shared" si="0"/>
        <v>39.733762154828007</v>
      </c>
    </row>
    <row r="14" spans="1:15" x14ac:dyDescent="0.2">
      <c r="I14" s="39"/>
    </row>
    <row r="15" spans="1:15" x14ac:dyDescent="0.2">
      <c r="A15" t="s">
        <v>255</v>
      </c>
      <c r="C15" s="41">
        <v>2272.84</v>
      </c>
      <c r="D15" s="41"/>
      <c r="E15" s="41">
        <v>89.91</v>
      </c>
      <c r="I15" s="39">
        <f t="shared" si="0"/>
        <v>25.279056834612394</v>
      </c>
    </row>
    <row r="16" spans="1:15" x14ac:dyDescent="0.2">
      <c r="C16" s="41"/>
      <c r="D16" s="41"/>
      <c r="E16" s="41"/>
      <c r="I16" s="39"/>
    </row>
    <row r="17" spans="1:9" x14ac:dyDescent="0.2">
      <c r="A17" t="s">
        <v>256</v>
      </c>
      <c r="C17" s="41">
        <v>14602.05</v>
      </c>
      <c r="D17" s="41"/>
      <c r="E17" s="41">
        <v>907</v>
      </c>
      <c r="I17" s="39">
        <f t="shared" si="0"/>
        <v>16.09928335170893</v>
      </c>
    </row>
    <row r="18" spans="1:9" x14ac:dyDescent="0.2">
      <c r="I18" s="39"/>
    </row>
    <row r="19" spans="1:9" x14ac:dyDescent="0.2">
      <c r="A19" s="42" t="s">
        <v>259</v>
      </c>
      <c r="B19" s="42"/>
      <c r="C19" s="42"/>
      <c r="D19" s="42"/>
      <c r="E19" s="42"/>
      <c r="F19" s="42"/>
      <c r="G19" s="42"/>
      <c r="H19" s="42"/>
      <c r="I19" s="44">
        <f>AVERAGE(I9,I11,I13)</f>
        <v>30.271158245908737</v>
      </c>
    </row>
    <row r="20" spans="1:9" x14ac:dyDescent="0.2">
      <c r="A20" s="42" t="s">
        <v>260</v>
      </c>
      <c r="B20" s="42"/>
      <c r="C20" s="42"/>
      <c r="D20" s="42"/>
      <c r="E20" s="42"/>
      <c r="F20" s="42"/>
      <c r="G20" s="42"/>
      <c r="H20" s="42"/>
      <c r="I20" s="44">
        <f>MEDIAN(I9,I11,I13)</f>
        <v>29.80108021474928</v>
      </c>
    </row>
    <row r="22" spans="1:9" x14ac:dyDescent="0.2">
      <c r="A22" s="42" t="s">
        <v>265</v>
      </c>
      <c r="B22" s="42"/>
      <c r="C22" s="42"/>
      <c r="D22" s="42"/>
      <c r="E22" s="42"/>
      <c r="F22" s="42"/>
      <c r="G22" s="42"/>
      <c r="H22" s="42"/>
      <c r="I22" s="44">
        <f>AVERAGE(I15,I17)</f>
        <v>20.689170093160662</v>
      </c>
    </row>
    <row r="23" spans="1:9" x14ac:dyDescent="0.2">
      <c r="A23" s="42" t="s">
        <v>261</v>
      </c>
      <c r="B23" s="42"/>
      <c r="C23" s="42"/>
      <c r="D23" s="42"/>
      <c r="E23" s="42"/>
      <c r="F23" s="42"/>
      <c r="G23" s="42"/>
      <c r="H23" s="42"/>
      <c r="I23" s="44">
        <f>MEDIAN(I15,I17)</f>
        <v>20.689170093160662</v>
      </c>
    </row>
    <row r="25" spans="1:9" x14ac:dyDescent="0.2">
      <c r="A25" s="42" t="s">
        <v>264</v>
      </c>
      <c r="I25" s="44">
        <f>('Operating model'!F11*Comps!I20)+('Operating model'!F15*Comps!I23)</f>
        <v>28.256593795353954</v>
      </c>
    </row>
    <row r="29" spans="1:9" x14ac:dyDescent="0.2">
      <c r="A29" t="s">
        <v>231</v>
      </c>
      <c r="C29" s="64">
        <f>DCF!C37</f>
        <v>1987.018</v>
      </c>
    </row>
    <row r="30" spans="1:9" x14ac:dyDescent="0.2">
      <c r="A30" t="s">
        <v>169</v>
      </c>
      <c r="C30" s="64">
        <f>DCF!C38</f>
        <v>3222.2240000000002</v>
      </c>
    </row>
    <row r="31" spans="1:9" x14ac:dyDescent="0.2">
      <c r="A31" t="s">
        <v>240</v>
      </c>
      <c r="C31" s="64">
        <f>DCF!C39</f>
        <v>334.70499999999998</v>
      </c>
    </row>
    <row r="33" spans="1:4" x14ac:dyDescent="0.2">
      <c r="A33" t="s">
        <v>262</v>
      </c>
      <c r="C33" s="39">
        <f>C6+C29-C30-C31</f>
        <v>78822.92400716152</v>
      </c>
      <c r="D33" s="39">
        <f>C7+C29-C30-C31</f>
        <v>64394.259150880665</v>
      </c>
    </row>
    <row r="34" spans="1:4" x14ac:dyDescent="0.2">
      <c r="A34" t="s">
        <v>233</v>
      </c>
      <c r="C34" s="105">
        <f>DCF!C43</f>
        <v>195.832246</v>
      </c>
      <c r="D34" s="105">
        <f>DCF!C43</f>
        <v>195.832246</v>
      </c>
    </row>
    <row r="36" spans="1:4" x14ac:dyDescent="0.2">
      <c r="A36" s="42" t="s">
        <v>263</v>
      </c>
      <c r="C36" s="44">
        <f>C33/C34</f>
        <v>402.50227231301591</v>
      </c>
      <c r="D36" s="44">
        <f>D33/D34</f>
        <v>328.82357459598694</v>
      </c>
    </row>
  </sheetData>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49"/>
  <sheetViews>
    <sheetView showGridLines="0" workbookViewId="0">
      <pane xSplit="1" ySplit="3" topLeftCell="B18" activePane="bottomRight" state="frozen"/>
      <selection pane="topRight"/>
      <selection pane="bottomLeft"/>
      <selection pane="bottomRight" activeCell="B6" sqref="B6"/>
    </sheetView>
  </sheetViews>
  <sheetFormatPr baseColWidth="10" defaultColWidth="8.83203125" defaultRowHeight="15" x14ac:dyDescent="0.2"/>
  <cols>
    <col min="1" max="1" width="75" customWidth="1"/>
    <col min="2" max="3" width="16" customWidth="1"/>
  </cols>
  <sheetData>
    <row r="1" spans="1:3" ht="16" customHeight="1" x14ac:dyDescent="0.2">
      <c r="A1" s="1" t="s">
        <v>6</v>
      </c>
    </row>
    <row r="3" spans="1:3" x14ac:dyDescent="0.2">
      <c r="A3" s="2" t="s">
        <v>7</v>
      </c>
      <c r="B3" s="3">
        <v>2025</v>
      </c>
      <c r="C3" s="3">
        <v>2026</v>
      </c>
    </row>
    <row r="4" spans="1:3" x14ac:dyDescent="0.2">
      <c r="A4" s="4" t="s">
        <v>8</v>
      </c>
      <c r="B4" s="4"/>
      <c r="C4" s="4"/>
    </row>
    <row r="5" spans="1:3" x14ac:dyDescent="0.2">
      <c r="A5" s="4" t="s">
        <v>9</v>
      </c>
      <c r="B5" s="4"/>
      <c r="C5" s="4"/>
    </row>
    <row r="6" spans="1:3" x14ac:dyDescent="0.2">
      <c r="A6" s="4" t="s">
        <v>10</v>
      </c>
      <c r="B6" s="5">
        <v>909.2</v>
      </c>
      <c r="C6" s="5">
        <v>1162.018</v>
      </c>
    </row>
    <row r="7" spans="1:3" x14ac:dyDescent="0.2">
      <c r="A7" s="4" t="s">
        <v>11</v>
      </c>
      <c r="B7" s="5">
        <v>8.8970000000000002</v>
      </c>
      <c r="C7" s="5">
        <v>35.155999999999999</v>
      </c>
    </row>
    <row r="8" spans="1:3" x14ac:dyDescent="0.2">
      <c r="A8" s="4" t="s">
        <v>12</v>
      </c>
      <c r="B8" s="17" t="s">
        <v>13</v>
      </c>
      <c r="C8" s="18">
        <v>825</v>
      </c>
    </row>
    <row r="9" spans="1:3" x14ac:dyDescent="0.2">
      <c r="A9" s="4" t="s">
        <v>14</v>
      </c>
      <c r="B9" s="5">
        <v>964.05100000000004</v>
      </c>
      <c r="C9" s="5">
        <v>1343.278</v>
      </c>
    </row>
    <row r="10" spans="1:3" x14ac:dyDescent="0.2">
      <c r="A10" s="4" t="s">
        <v>15</v>
      </c>
      <c r="B10" s="5">
        <v>1437.636</v>
      </c>
      <c r="C10" s="5">
        <v>2581.0430000000001</v>
      </c>
    </row>
    <row r="11" spans="1:3" x14ac:dyDescent="0.2">
      <c r="A11" s="4" t="s">
        <v>16</v>
      </c>
      <c r="B11" s="5">
        <v>55.773000000000003</v>
      </c>
      <c r="C11" s="5">
        <v>78.891999999999996</v>
      </c>
    </row>
    <row r="12" spans="1:3" x14ac:dyDescent="0.2">
      <c r="A12" s="4" t="s">
        <v>17</v>
      </c>
      <c r="B12" s="5">
        <v>551.59699999999998</v>
      </c>
      <c r="C12" s="5">
        <v>900.11199999999997</v>
      </c>
    </row>
    <row r="13" spans="1:3" x14ac:dyDescent="0.2">
      <c r="A13" s="6" t="s">
        <v>18</v>
      </c>
      <c r="B13" s="7">
        <v>3927.154</v>
      </c>
      <c r="C13" s="7">
        <v>6925.4989999999998</v>
      </c>
    </row>
    <row r="14" spans="1:3" x14ac:dyDescent="0.2">
      <c r="A14" s="4" t="s">
        <v>19</v>
      </c>
      <c r="B14" s="5">
        <v>1877.5070000000001</v>
      </c>
      <c r="C14" s="5">
        <v>2999.3429999999998</v>
      </c>
    </row>
    <row r="15" spans="1:3" x14ac:dyDescent="0.2">
      <c r="A15" s="4" t="s">
        <v>20</v>
      </c>
      <c r="B15" s="5">
        <v>4471.0839999999998</v>
      </c>
      <c r="C15" s="5">
        <v>4375.5969999999998</v>
      </c>
    </row>
    <row r="16" spans="1:3" x14ac:dyDescent="0.2">
      <c r="A16" s="4" t="s">
        <v>21</v>
      </c>
      <c r="B16" s="5">
        <v>3204.7469999999998</v>
      </c>
      <c r="C16" s="5">
        <v>2884.4740000000002</v>
      </c>
    </row>
    <row r="17" spans="1:3" x14ac:dyDescent="0.2">
      <c r="A17" s="4" t="s">
        <v>22</v>
      </c>
      <c r="B17" s="5">
        <v>53.406999999999996</v>
      </c>
      <c r="C17" s="5">
        <v>69.433999999999997</v>
      </c>
    </row>
    <row r="18" spans="1:3" x14ac:dyDescent="0.2">
      <c r="A18" s="4" t="s">
        <v>23</v>
      </c>
      <c r="B18" s="5">
        <v>714.81600000000003</v>
      </c>
      <c r="C18" s="5">
        <v>571.22199999999998</v>
      </c>
    </row>
    <row r="19" spans="1:3" x14ac:dyDescent="0.2">
      <c r="A19" s="4" t="s">
        <v>24</v>
      </c>
      <c r="B19" s="5">
        <v>662.221</v>
      </c>
      <c r="C19" s="5">
        <v>474.28300000000002</v>
      </c>
    </row>
    <row r="20" spans="1:3" x14ac:dyDescent="0.2">
      <c r="A20" s="6" t="s">
        <v>25</v>
      </c>
      <c r="B20" s="7">
        <v>14910.936</v>
      </c>
      <c r="C20" s="7">
        <v>18299.851999999999</v>
      </c>
    </row>
    <row r="21" spans="1:3" x14ac:dyDescent="0.2">
      <c r="A21" s="4" t="s">
        <v>26</v>
      </c>
      <c r="B21" s="4"/>
      <c r="C21" s="4"/>
    </row>
    <row r="22" spans="1:3" x14ac:dyDescent="0.2">
      <c r="A22" s="4" t="s">
        <v>27</v>
      </c>
      <c r="B22" s="4"/>
      <c r="C22" s="4"/>
    </row>
    <row r="23" spans="1:3" x14ac:dyDescent="0.2">
      <c r="A23" s="4" t="s">
        <v>28</v>
      </c>
      <c r="B23" s="5">
        <v>188.30600000000001</v>
      </c>
      <c r="C23" s="5">
        <v>7.9160000000000004</v>
      </c>
    </row>
    <row r="24" spans="1:3" x14ac:dyDescent="0.2">
      <c r="A24" s="4" t="s">
        <v>29</v>
      </c>
      <c r="B24" s="5">
        <v>846.98400000000004</v>
      </c>
      <c r="C24" s="5">
        <v>1905.357</v>
      </c>
    </row>
    <row r="25" spans="1:3" x14ac:dyDescent="0.2">
      <c r="A25" s="4" t="s">
        <v>30</v>
      </c>
      <c r="B25" s="5">
        <v>258.64999999999998</v>
      </c>
      <c r="C25" s="5">
        <v>358.04700000000003</v>
      </c>
    </row>
    <row r="26" spans="1:3" x14ac:dyDescent="0.2">
      <c r="A26" s="4" t="s">
        <v>31</v>
      </c>
      <c r="B26" s="5">
        <v>41.575000000000003</v>
      </c>
      <c r="C26" s="5">
        <v>61.371000000000002</v>
      </c>
    </row>
    <row r="27" spans="1:3" x14ac:dyDescent="0.2">
      <c r="A27" s="4" t="s">
        <v>32</v>
      </c>
      <c r="B27" s="5">
        <v>123.762</v>
      </c>
      <c r="C27" s="5">
        <v>173.24799999999999</v>
      </c>
    </row>
    <row r="28" spans="1:3" x14ac:dyDescent="0.2">
      <c r="A28" s="4" t="s">
        <v>33</v>
      </c>
      <c r="B28" s="5">
        <v>335.56400000000002</v>
      </c>
      <c r="C28" s="5">
        <v>347.99</v>
      </c>
    </row>
    <row r="29" spans="1:3" x14ac:dyDescent="0.2">
      <c r="A29" s="6" t="s">
        <v>34</v>
      </c>
      <c r="B29" s="7">
        <v>1794.8409999999999</v>
      </c>
      <c r="C29" s="7">
        <v>2853.9290000000001</v>
      </c>
    </row>
    <row r="30" spans="1:3" x14ac:dyDescent="0.2">
      <c r="A30" s="4" t="s">
        <v>35</v>
      </c>
      <c r="B30" s="5">
        <v>3498.6149999999998</v>
      </c>
      <c r="C30" s="5">
        <v>3214.308</v>
      </c>
    </row>
    <row r="31" spans="1:3" x14ac:dyDescent="0.2">
      <c r="A31" s="4" t="s">
        <v>22</v>
      </c>
      <c r="B31" s="5">
        <v>711.71699999999998</v>
      </c>
      <c r="C31" s="5">
        <v>540.61</v>
      </c>
    </row>
    <row r="32" spans="1:3" x14ac:dyDescent="0.2">
      <c r="A32" s="4" t="s">
        <v>36</v>
      </c>
      <c r="B32" s="5">
        <v>165.16200000000001</v>
      </c>
      <c r="C32" s="5">
        <v>254.839</v>
      </c>
    </row>
    <row r="33" spans="1:3" x14ac:dyDescent="0.2">
      <c r="A33" s="4" t="s">
        <v>37</v>
      </c>
      <c r="B33" s="5">
        <v>259.31799999999998</v>
      </c>
      <c r="C33" s="5">
        <v>197.96600000000001</v>
      </c>
    </row>
    <row r="34" spans="1:3" x14ac:dyDescent="0.2">
      <c r="A34" s="6" t="s">
        <v>38</v>
      </c>
      <c r="B34" s="7">
        <v>6429.6530000000002</v>
      </c>
      <c r="C34" s="7">
        <v>7061.652</v>
      </c>
    </row>
    <row r="35" spans="1:3" x14ac:dyDescent="0.2">
      <c r="A35" s="4" t="s">
        <v>39</v>
      </c>
      <c r="B35" s="4"/>
      <c r="C35" s="4"/>
    </row>
    <row r="36" spans="1:3" x14ac:dyDescent="0.2">
      <c r="A36" s="4" t="s">
        <v>40</v>
      </c>
      <c r="B36" s="18">
        <v>2483.261</v>
      </c>
      <c r="C36" s="17" t="s">
        <v>13</v>
      </c>
    </row>
    <row r="37" spans="1:3" x14ac:dyDescent="0.2">
      <c r="A37" s="4" t="s">
        <v>41</v>
      </c>
      <c r="B37" s="4"/>
      <c r="C37" s="4"/>
    </row>
    <row r="38" spans="1:3" x14ac:dyDescent="0.2">
      <c r="A38" s="4" t="s">
        <v>42</v>
      </c>
      <c r="B38" s="5">
        <v>5056.1679999999997</v>
      </c>
      <c r="C38" s="5">
        <v>9790.5959999999995</v>
      </c>
    </row>
    <row r="39" spans="1:3" x14ac:dyDescent="0.2">
      <c r="A39" s="4" t="s">
        <v>43</v>
      </c>
      <c r="B39" s="5">
        <v>372.03699999999998</v>
      </c>
      <c r="C39" s="5">
        <v>204.11199999999999</v>
      </c>
    </row>
    <row r="40" spans="1:3" x14ac:dyDescent="0.2">
      <c r="A40" s="4" t="s">
        <v>44</v>
      </c>
      <c r="B40" s="5">
        <v>584.37400000000002</v>
      </c>
      <c r="C40" s="5">
        <v>1354.27</v>
      </c>
    </row>
    <row r="41" spans="1:3" x14ac:dyDescent="0.2">
      <c r="A41" s="4"/>
      <c r="B41" s="5">
        <v>6012.5789999999997</v>
      </c>
      <c r="C41" s="5">
        <v>11348.977999999999</v>
      </c>
    </row>
    <row r="42" spans="1:3" x14ac:dyDescent="0.2">
      <c r="A42" s="4" t="s">
        <v>45</v>
      </c>
      <c r="B42" s="5">
        <v>-368.065</v>
      </c>
      <c r="C42" s="5">
        <v>-445.483</v>
      </c>
    </row>
    <row r="43" spans="1:3" x14ac:dyDescent="0.2">
      <c r="A43" s="6" t="s">
        <v>46</v>
      </c>
      <c r="B43" s="7">
        <v>5644.5140000000001</v>
      </c>
      <c r="C43" s="7">
        <v>10903.495000000001</v>
      </c>
    </row>
    <row r="44" spans="1:3" x14ac:dyDescent="0.2">
      <c r="A44" s="4" t="s">
        <v>47</v>
      </c>
      <c r="B44" s="5">
        <v>353.50799999999998</v>
      </c>
      <c r="C44" s="5">
        <v>334.70499999999998</v>
      </c>
    </row>
    <row r="45" spans="1:3" x14ac:dyDescent="0.2">
      <c r="A45" s="6" t="s">
        <v>48</v>
      </c>
      <c r="B45" s="7">
        <v>5998.0219999999999</v>
      </c>
      <c r="C45" s="7">
        <v>11238.2</v>
      </c>
    </row>
    <row r="46" spans="1:3" x14ac:dyDescent="0.2">
      <c r="A46" s="6" t="s">
        <v>49</v>
      </c>
      <c r="B46" s="7">
        <v>14910.936</v>
      </c>
      <c r="C46" s="7">
        <v>18299.851999999999</v>
      </c>
    </row>
    <row r="49" spans="1:1" x14ac:dyDescent="0.2">
      <c r="A49" s="8" t="s">
        <v>50</v>
      </c>
    </row>
  </sheetData>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D26"/>
  <sheetViews>
    <sheetView showGridLines="0" workbookViewId="0">
      <pane xSplit="1" ySplit="3" topLeftCell="B4" activePane="bottomRight" state="frozen"/>
      <selection pane="topRight"/>
      <selection pane="bottomLeft"/>
      <selection pane="bottomRight" activeCell="D13" sqref="D13"/>
    </sheetView>
  </sheetViews>
  <sheetFormatPr baseColWidth="10" defaultColWidth="8.83203125" defaultRowHeight="15" x14ac:dyDescent="0.2"/>
  <cols>
    <col min="1" max="1" width="50.33203125" customWidth="1"/>
    <col min="2" max="4" width="16" customWidth="1"/>
  </cols>
  <sheetData>
    <row r="1" spans="1:4" ht="16" customHeight="1" x14ac:dyDescent="0.2">
      <c r="A1" s="1" t="s">
        <v>51</v>
      </c>
    </row>
    <row r="3" spans="1:4" x14ac:dyDescent="0.2">
      <c r="A3" s="2" t="s">
        <v>52</v>
      </c>
      <c r="B3" s="3">
        <v>2024</v>
      </c>
      <c r="C3" s="3">
        <v>2025</v>
      </c>
      <c r="D3" s="3">
        <v>2026</v>
      </c>
    </row>
    <row r="4" spans="1:4" x14ac:dyDescent="0.2">
      <c r="A4" s="4" t="s">
        <v>0</v>
      </c>
      <c r="B4" s="5">
        <v>4707.6880000000001</v>
      </c>
      <c r="C4" s="5">
        <v>5810.1149999999998</v>
      </c>
      <c r="D4" s="5">
        <v>7118.1809999999996</v>
      </c>
    </row>
    <row r="5" spans="1:4" x14ac:dyDescent="0.2">
      <c r="A5" s="4" t="s">
        <v>53</v>
      </c>
      <c r="B5" s="4"/>
      <c r="C5" s="4"/>
      <c r="D5" s="4"/>
    </row>
    <row r="6" spans="1:4" x14ac:dyDescent="0.2">
      <c r="A6" s="4" t="s">
        <v>54</v>
      </c>
      <c r="B6" s="5">
        <v>3251.7240000000002</v>
      </c>
      <c r="C6" s="5">
        <v>3766.7930000000001</v>
      </c>
      <c r="D6" s="5">
        <v>4449.1409999999996</v>
      </c>
    </row>
    <row r="7" spans="1:4" x14ac:dyDescent="0.2">
      <c r="A7" s="4" t="s">
        <v>55</v>
      </c>
      <c r="B7" s="5">
        <v>478.78800000000001</v>
      </c>
      <c r="C7" s="5">
        <v>581.92399999999998</v>
      </c>
      <c r="D7" s="5">
        <v>722.952</v>
      </c>
    </row>
    <row r="8" spans="1:4" x14ac:dyDescent="0.2">
      <c r="A8" s="4" t="s">
        <v>56</v>
      </c>
      <c r="B8" s="5">
        <v>854.00099999999998</v>
      </c>
      <c r="C8" s="5">
        <v>926.45100000000002</v>
      </c>
      <c r="D8" s="5">
        <v>1044.566</v>
      </c>
    </row>
    <row r="9" spans="1:4" x14ac:dyDescent="0.2">
      <c r="A9" s="4" t="s">
        <v>57</v>
      </c>
      <c r="B9" s="5">
        <v>27.053999999999998</v>
      </c>
      <c r="C9" s="5">
        <v>160.08099999999999</v>
      </c>
      <c r="D9" s="5">
        <v>63.39</v>
      </c>
    </row>
    <row r="10" spans="1:4" x14ac:dyDescent="0.2">
      <c r="A10" s="4" t="s">
        <v>58</v>
      </c>
      <c r="B10" s="17"/>
      <c r="C10" s="5">
        <v>84.988</v>
      </c>
      <c r="D10" s="89">
        <v>64.403999999999996</v>
      </c>
    </row>
    <row r="11" spans="1:4" x14ac:dyDescent="0.2">
      <c r="A11" s="4" t="s">
        <v>59</v>
      </c>
      <c r="B11" s="17"/>
      <c r="C11" s="4"/>
      <c r="D11" s="89">
        <v>-124.133</v>
      </c>
    </row>
    <row r="12" spans="1:4" x14ac:dyDescent="0.2">
      <c r="A12" s="4" t="s">
        <v>60</v>
      </c>
      <c r="B12" s="5">
        <v>288.47500000000002</v>
      </c>
      <c r="C12" s="5">
        <v>243.251</v>
      </c>
      <c r="D12" s="5">
        <v>190.267</v>
      </c>
    </row>
    <row r="13" spans="1:4" x14ac:dyDescent="0.2">
      <c r="A13" s="4" t="s">
        <v>61</v>
      </c>
      <c r="B13" s="5">
        <v>-44.707000000000001</v>
      </c>
      <c r="C13" s="5">
        <v>-47.554000000000002</v>
      </c>
      <c r="D13" s="5">
        <v>-140.13900000000001</v>
      </c>
    </row>
    <row r="14" spans="1:4" x14ac:dyDescent="0.2">
      <c r="A14" s="6" t="s">
        <v>62</v>
      </c>
      <c r="B14" s="7">
        <v>4855.335</v>
      </c>
      <c r="C14" s="7">
        <v>5715.9340000000002</v>
      </c>
      <c r="D14" s="7">
        <v>6270.4480000000003</v>
      </c>
    </row>
    <row r="15" spans="1:4" x14ac:dyDescent="0.2">
      <c r="A15" s="6" t="s">
        <v>63</v>
      </c>
      <c r="B15" s="7">
        <v>-147.64699999999999</v>
      </c>
      <c r="C15" s="7">
        <v>94.180999999999997</v>
      </c>
      <c r="D15" s="7">
        <v>847.73299999999995</v>
      </c>
    </row>
    <row r="16" spans="1:4" x14ac:dyDescent="0.2">
      <c r="A16" s="4" t="s">
        <v>64</v>
      </c>
      <c r="B16" s="5">
        <v>11.117000000000001</v>
      </c>
      <c r="C16" s="5">
        <v>64.123999999999995</v>
      </c>
      <c r="D16" s="5">
        <v>60.848999999999997</v>
      </c>
    </row>
    <row r="17" spans="1:4" x14ac:dyDescent="0.2">
      <c r="A17" s="6" t="s">
        <v>65</v>
      </c>
      <c r="B17" s="7">
        <v>-158.76400000000001</v>
      </c>
      <c r="C17" s="7">
        <v>30.056999999999999</v>
      </c>
      <c r="D17" s="7">
        <v>786.88400000000001</v>
      </c>
    </row>
    <row r="18" spans="1:4" x14ac:dyDescent="0.2">
      <c r="A18" s="4" t="s">
        <v>66</v>
      </c>
      <c r="B18" s="5">
        <v>-2.61</v>
      </c>
      <c r="C18" s="5">
        <v>-19.306999999999999</v>
      </c>
      <c r="D18" s="5">
        <v>-18.114000000000001</v>
      </c>
    </row>
    <row r="19" spans="1:4" x14ac:dyDescent="0.2">
      <c r="A19" s="6" t="s">
        <v>67</v>
      </c>
      <c r="B19" s="7">
        <v>-156.154</v>
      </c>
      <c r="C19" s="7">
        <v>49.363999999999997</v>
      </c>
      <c r="D19" s="7">
        <v>804.99800000000005</v>
      </c>
    </row>
    <row r="20" spans="1:4" x14ac:dyDescent="0.2">
      <c r="A20" s="4" t="s">
        <v>68</v>
      </c>
      <c r="B20" s="5">
        <v>123.357</v>
      </c>
      <c r="C20" s="5">
        <v>129.92599999999999</v>
      </c>
      <c r="D20" s="5">
        <v>35.101999999999997</v>
      </c>
    </row>
    <row r="21" spans="1:4" x14ac:dyDescent="0.2">
      <c r="A21" s="6" t="s">
        <v>69</v>
      </c>
      <c r="B21" s="7">
        <v>-279.51100000000002</v>
      </c>
      <c r="C21" s="7">
        <v>-80.561999999999998</v>
      </c>
      <c r="D21" s="7">
        <v>769.89599999999996</v>
      </c>
    </row>
    <row r="22" spans="1:4" x14ac:dyDescent="0.2">
      <c r="A22" s="4" t="s">
        <v>70</v>
      </c>
      <c r="B22" s="9">
        <v>-1.84</v>
      </c>
      <c r="C22" s="9">
        <v>-0.52</v>
      </c>
      <c r="D22" s="9">
        <v>4.34</v>
      </c>
    </row>
    <row r="23" spans="1:4" x14ac:dyDescent="0.2">
      <c r="A23" s="4" t="s">
        <v>71</v>
      </c>
      <c r="B23" s="9">
        <v>-1.84</v>
      </c>
      <c r="C23" s="9">
        <v>-0.52</v>
      </c>
      <c r="D23" s="9">
        <v>4.12</v>
      </c>
    </row>
    <row r="26" spans="1:4" x14ac:dyDescent="0.2">
      <c r="A26" s="8" t="s">
        <v>50</v>
      </c>
    </row>
  </sheetData>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65"/>
  <sheetViews>
    <sheetView showGridLines="0" workbookViewId="0">
      <pane xSplit="1" ySplit="3" topLeftCell="B42" activePane="bottomRight" state="frozen"/>
      <selection pane="topRight"/>
      <selection pane="bottomLeft"/>
      <selection pane="bottomRight" activeCell="A7" sqref="A7"/>
    </sheetView>
  </sheetViews>
  <sheetFormatPr baseColWidth="10" defaultColWidth="8.83203125" defaultRowHeight="15" x14ac:dyDescent="0.2"/>
  <cols>
    <col min="1" max="1" width="75" customWidth="1"/>
    <col min="2" max="4" width="16" customWidth="1"/>
  </cols>
  <sheetData>
    <row r="1" spans="1:4" ht="16" customHeight="1" x14ac:dyDescent="0.2">
      <c r="A1" s="1" t="s">
        <v>72</v>
      </c>
    </row>
    <row r="3" spans="1:4" x14ac:dyDescent="0.2">
      <c r="A3" s="2" t="s">
        <v>52</v>
      </c>
      <c r="B3" s="3">
        <v>2024</v>
      </c>
      <c r="C3" s="3">
        <v>2025</v>
      </c>
      <c r="D3" s="3">
        <v>2026</v>
      </c>
    </row>
    <row r="4" spans="1:4" x14ac:dyDescent="0.2">
      <c r="A4" s="4" t="s">
        <v>73</v>
      </c>
      <c r="B4" s="4"/>
      <c r="C4" s="4"/>
      <c r="D4" s="4"/>
    </row>
    <row r="5" spans="1:4" x14ac:dyDescent="0.2">
      <c r="A5" s="6" t="s">
        <v>74</v>
      </c>
      <c r="B5" s="7">
        <v>-158.76400000000001</v>
      </c>
      <c r="C5" s="7">
        <v>30.056999999999999</v>
      </c>
      <c r="D5" s="7">
        <v>786.88400000000001</v>
      </c>
    </row>
    <row r="6" spans="1:4" x14ac:dyDescent="0.2">
      <c r="A6" s="4" t="s">
        <v>75</v>
      </c>
      <c r="B6" s="4"/>
      <c r="C6" s="4"/>
      <c r="D6" s="4"/>
    </row>
    <row r="7" spans="1:4" x14ac:dyDescent="0.2">
      <c r="A7" s="4" t="s">
        <v>76</v>
      </c>
      <c r="B7" s="5">
        <v>271.601</v>
      </c>
      <c r="C7" s="5">
        <v>250.81</v>
      </c>
      <c r="D7" s="5">
        <v>241.56100000000001</v>
      </c>
    </row>
    <row r="8" spans="1:4" x14ac:dyDescent="0.2">
      <c r="A8" s="4" t="s">
        <v>77</v>
      </c>
      <c r="B8" s="5">
        <v>288.16000000000003</v>
      </c>
      <c r="C8" s="5">
        <v>302.78800000000001</v>
      </c>
      <c r="D8" s="5">
        <v>280.334</v>
      </c>
    </row>
    <row r="9" spans="1:4" x14ac:dyDescent="0.2">
      <c r="A9" s="4" t="s">
        <v>78</v>
      </c>
      <c r="B9" s="5">
        <v>126.04900000000001</v>
      </c>
      <c r="C9" s="5">
        <v>160.239</v>
      </c>
      <c r="D9" s="5">
        <v>186.46799999999999</v>
      </c>
    </row>
    <row r="10" spans="1:4" x14ac:dyDescent="0.2">
      <c r="A10" s="4" t="s">
        <v>79</v>
      </c>
      <c r="B10" s="5">
        <v>16.556999999999999</v>
      </c>
      <c r="C10" s="5">
        <v>140.91200000000001</v>
      </c>
      <c r="D10" s="5">
        <v>87.563000000000002</v>
      </c>
    </row>
    <row r="11" spans="1:4" x14ac:dyDescent="0.2">
      <c r="A11" s="4" t="s">
        <v>80</v>
      </c>
      <c r="B11" s="5">
        <v>17.652000000000001</v>
      </c>
      <c r="C11" s="5">
        <v>19.774000000000001</v>
      </c>
      <c r="D11" s="5">
        <v>17.559999999999999</v>
      </c>
    </row>
    <row r="12" spans="1:4" x14ac:dyDescent="0.2">
      <c r="A12" s="4" t="s">
        <v>81</v>
      </c>
      <c r="B12" s="5">
        <v>0.75800000000000001</v>
      </c>
      <c r="C12" s="5">
        <v>0.78200000000000003</v>
      </c>
      <c r="D12" s="5">
        <v>0.59899999999999998</v>
      </c>
    </row>
    <row r="13" spans="1:4" x14ac:dyDescent="0.2">
      <c r="A13" s="4" t="s">
        <v>82</v>
      </c>
      <c r="B13" s="5">
        <v>-10.555999999999999</v>
      </c>
      <c r="C13" s="5">
        <v>33.122</v>
      </c>
      <c r="D13" s="5">
        <v>-24.792000000000002</v>
      </c>
    </row>
    <row r="14" spans="1:4" x14ac:dyDescent="0.2">
      <c r="A14" s="4" t="s">
        <v>83</v>
      </c>
      <c r="B14" s="5">
        <v>5.0999999999999997E-2</v>
      </c>
      <c r="C14" s="5">
        <v>-1.3160000000000001</v>
      </c>
      <c r="D14" s="5">
        <v>-0.69</v>
      </c>
    </row>
    <row r="15" spans="1:4" x14ac:dyDescent="0.2">
      <c r="A15" s="4" t="s">
        <v>22</v>
      </c>
      <c r="B15" s="5">
        <v>-112.096</v>
      </c>
      <c r="C15" s="5">
        <v>-95.433999999999997</v>
      </c>
      <c r="D15" s="5">
        <v>-198.732</v>
      </c>
    </row>
    <row r="16" spans="1:4" x14ac:dyDescent="0.2">
      <c r="A16" s="4" t="s">
        <v>59</v>
      </c>
      <c r="B16" s="17" t="s">
        <v>13</v>
      </c>
      <c r="C16" s="19" t="s">
        <v>13</v>
      </c>
      <c r="D16" s="18">
        <v>-124.133</v>
      </c>
    </row>
    <row r="17" spans="1:4" x14ac:dyDescent="0.2">
      <c r="A17" s="4" t="s">
        <v>84</v>
      </c>
      <c r="B17" s="17" t="s">
        <v>13</v>
      </c>
      <c r="C17" s="19" t="s">
        <v>13</v>
      </c>
      <c r="D17" s="18">
        <v>-73.998000000000005</v>
      </c>
    </row>
    <row r="18" spans="1:4" x14ac:dyDescent="0.2">
      <c r="A18" s="4" t="s">
        <v>85</v>
      </c>
      <c r="B18" s="5">
        <v>1.978</v>
      </c>
      <c r="C18" s="19" t="s">
        <v>13</v>
      </c>
      <c r="D18" s="5">
        <v>3.056</v>
      </c>
    </row>
    <row r="19" spans="1:4" x14ac:dyDescent="0.2">
      <c r="A19" s="4" t="s">
        <v>86</v>
      </c>
      <c r="B19" s="4"/>
      <c r="C19" s="4"/>
      <c r="D19" s="4"/>
    </row>
    <row r="20" spans="1:4" x14ac:dyDescent="0.2">
      <c r="A20" s="4" t="s">
        <v>87</v>
      </c>
      <c r="B20" s="5">
        <v>60.581000000000003</v>
      </c>
      <c r="C20" s="5">
        <v>-170.44399999999999</v>
      </c>
      <c r="D20" s="5">
        <v>-367.63099999999997</v>
      </c>
    </row>
    <row r="21" spans="1:4" x14ac:dyDescent="0.2">
      <c r="A21" s="4" t="s">
        <v>15</v>
      </c>
      <c r="B21" s="5">
        <v>-23.196000000000002</v>
      </c>
      <c r="C21" s="5">
        <v>-202.72800000000001</v>
      </c>
      <c r="D21" s="5">
        <v>-1183</v>
      </c>
    </row>
    <row r="22" spans="1:4" x14ac:dyDescent="0.2">
      <c r="A22" s="4" t="s">
        <v>29</v>
      </c>
      <c r="B22" s="5">
        <v>205.04400000000001</v>
      </c>
      <c r="C22" s="5">
        <v>217.357</v>
      </c>
      <c r="D22" s="5">
        <v>748.53300000000002</v>
      </c>
    </row>
    <row r="23" spans="1:4" x14ac:dyDescent="0.2">
      <c r="A23" s="4" t="s">
        <v>88</v>
      </c>
      <c r="B23" s="5">
        <v>-72.817999999999998</v>
      </c>
      <c r="C23" s="5">
        <v>3.1819999999999999</v>
      </c>
      <c r="D23" s="5">
        <v>-9.3070000000000004</v>
      </c>
    </row>
    <row r="24" spans="1:4" x14ac:dyDescent="0.2">
      <c r="A24" s="4" t="s">
        <v>89</v>
      </c>
      <c r="B24" s="5">
        <v>12.250999999999999</v>
      </c>
      <c r="C24" s="5">
        <v>-22.117999999999999</v>
      </c>
      <c r="D24" s="5">
        <v>18.175000000000001</v>
      </c>
    </row>
    <row r="25" spans="1:4" x14ac:dyDescent="0.2">
      <c r="A25" s="4" t="s">
        <v>30</v>
      </c>
      <c r="B25" s="5">
        <v>36.893999999999998</v>
      </c>
      <c r="C25" s="5">
        <v>62.96</v>
      </c>
      <c r="D25" s="5">
        <v>99.397000000000006</v>
      </c>
    </row>
    <row r="26" spans="1:4" x14ac:dyDescent="0.2">
      <c r="A26" s="4" t="s">
        <v>90</v>
      </c>
      <c r="B26" s="5">
        <v>-114.41500000000001</v>
      </c>
      <c r="C26" s="5">
        <v>-96.343000000000004</v>
      </c>
      <c r="D26" s="5">
        <v>-408.33300000000003</v>
      </c>
    </row>
    <row r="27" spans="1:4" x14ac:dyDescent="0.2">
      <c r="A27" s="6" t="s">
        <v>91</v>
      </c>
      <c r="B27" s="7">
        <v>545.73099999999999</v>
      </c>
      <c r="C27" s="7">
        <v>633.6</v>
      </c>
      <c r="D27" s="7">
        <v>79.513999999999996</v>
      </c>
    </row>
    <row r="28" spans="1:4" x14ac:dyDescent="0.2">
      <c r="A28" s="4" t="s">
        <v>92</v>
      </c>
      <c r="B28" s="4"/>
      <c r="C28" s="4"/>
      <c r="D28" s="4"/>
    </row>
    <row r="29" spans="1:4" x14ac:dyDescent="0.2">
      <c r="A29" s="4" t="s">
        <v>93</v>
      </c>
      <c r="B29" s="5">
        <v>-346.81599999999997</v>
      </c>
      <c r="C29" s="5">
        <v>-440.83600000000001</v>
      </c>
      <c r="D29" s="5">
        <v>-1102.9090000000001</v>
      </c>
    </row>
    <row r="30" spans="1:4" x14ac:dyDescent="0.2">
      <c r="A30" s="4" t="s">
        <v>94</v>
      </c>
      <c r="B30" s="17" t="s">
        <v>13</v>
      </c>
      <c r="C30" s="19" t="s">
        <v>13</v>
      </c>
      <c r="D30" s="18">
        <v>-7.1740000000000004</v>
      </c>
    </row>
    <row r="31" spans="1:4" x14ac:dyDescent="0.2">
      <c r="A31" s="4" t="s">
        <v>95</v>
      </c>
      <c r="B31" s="17" t="s">
        <v>13</v>
      </c>
      <c r="C31" s="19" t="s">
        <v>13</v>
      </c>
      <c r="D31" s="18">
        <v>89.384</v>
      </c>
    </row>
    <row r="32" spans="1:4" x14ac:dyDescent="0.2">
      <c r="A32" s="4" t="s">
        <v>96</v>
      </c>
      <c r="B32" s="17" t="s">
        <v>13</v>
      </c>
      <c r="C32" s="5">
        <v>27</v>
      </c>
      <c r="D32" s="18">
        <v>436.99200000000002</v>
      </c>
    </row>
    <row r="33" spans="1:4" x14ac:dyDescent="0.2">
      <c r="A33" s="4" t="s">
        <v>97</v>
      </c>
      <c r="B33" s="17" t="s">
        <v>13</v>
      </c>
      <c r="C33" s="19" t="s">
        <v>13</v>
      </c>
      <c r="D33" s="18">
        <v>-1025</v>
      </c>
    </row>
    <row r="34" spans="1:4" x14ac:dyDescent="0.2">
      <c r="A34" s="4" t="s">
        <v>98</v>
      </c>
      <c r="B34" s="17" t="s">
        <v>13</v>
      </c>
      <c r="C34" s="19" t="s">
        <v>13</v>
      </c>
      <c r="D34" s="18">
        <v>200</v>
      </c>
    </row>
    <row r="35" spans="1:4" x14ac:dyDescent="0.2">
      <c r="A35" s="4" t="s">
        <v>99</v>
      </c>
      <c r="B35" s="5">
        <v>-3.8969999999999998</v>
      </c>
      <c r="C35" s="5">
        <v>-0.379</v>
      </c>
      <c r="D35" s="5">
        <v>-5.0170000000000003</v>
      </c>
    </row>
    <row r="36" spans="1:4" x14ac:dyDescent="0.2">
      <c r="A36" s="6" t="s">
        <v>100</v>
      </c>
      <c r="B36" s="7">
        <v>-350.71300000000002</v>
      </c>
      <c r="C36" s="7">
        <v>-414.21499999999997</v>
      </c>
      <c r="D36" s="7">
        <v>-1413.7239999999999</v>
      </c>
    </row>
    <row r="37" spans="1:4" x14ac:dyDescent="0.2">
      <c r="A37" s="4" t="s">
        <v>101</v>
      </c>
      <c r="B37" s="4"/>
      <c r="C37" s="4"/>
      <c r="D37" s="4"/>
    </row>
    <row r="38" spans="1:4" x14ac:dyDescent="0.2">
      <c r="A38" s="4" t="s">
        <v>102</v>
      </c>
      <c r="B38" s="18">
        <v>1000</v>
      </c>
      <c r="C38" s="4" t="s">
        <v>13</v>
      </c>
      <c r="D38" s="17" t="s">
        <v>13</v>
      </c>
    </row>
    <row r="39" spans="1:4" x14ac:dyDescent="0.2">
      <c r="A39" s="4" t="s">
        <v>103</v>
      </c>
      <c r="B39" s="17" t="s">
        <v>13</v>
      </c>
      <c r="C39" s="4" t="s">
        <v>13</v>
      </c>
      <c r="D39" s="18">
        <v>1250</v>
      </c>
    </row>
    <row r="40" spans="1:4" x14ac:dyDescent="0.2">
      <c r="A40" s="4" t="s">
        <v>104</v>
      </c>
      <c r="B40" s="17" t="s">
        <v>13</v>
      </c>
      <c r="C40" s="4" t="s">
        <v>13</v>
      </c>
      <c r="D40" s="18">
        <v>3.2669999999999999</v>
      </c>
    </row>
    <row r="41" spans="1:4" x14ac:dyDescent="0.2">
      <c r="A41" s="4" t="s">
        <v>105</v>
      </c>
      <c r="B41" s="5">
        <v>18.966000000000001</v>
      </c>
      <c r="C41" s="5">
        <v>53.728999999999999</v>
      </c>
      <c r="D41" s="5">
        <v>640.07500000000005</v>
      </c>
    </row>
    <row r="42" spans="1:4" x14ac:dyDescent="0.2">
      <c r="A42" s="4" t="s">
        <v>106</v>
      </c>
      <c r="B42" s="17" t="s">
        <v>13</v>
      </c>
      <c r="C42" s="4" t="s">
        <v>13</v>
      </c>
      <c r="D42" s="18">
        <v>28.004000000000001</v>
      </c>
    </row>
    <row r="43" spans="1:4" x14ac:dyDescent="0.2">
      <c r="A43" s="4" t="s">
        <v>107</v>
      </c>
      <c r="B43" s="17" t="s">
        <v>13</v>
      </c>
      <c r="C43" s="4" t="s">
        <v>13</v>
      </c>
      <c r="D43" s="18">
        <v>1998.5519999999999</v>
      </c>
    </row>
    <row r="44" spans="1:4" x14ac:dyDescent="0.2">
      <c r="A44" s="4" t="s">
        <v>108</v>
      </c>
      <c r="B44" s="5">
        <v>-228.80199999999999</v>
      </c>
      <c r="C44" s="5">
        <v>-436.98599999999999</v>
      </c>
      <c r="D44" s="5">
        <v>-1723.4369999999999</v>
      </c>
    </row>
    <row r="45" spans="1:4" x14ac:dyDescent="0.2">
      <c r="A45" s="4" t="s">
        <v>109</v>
      </c>
      <c r="B45" s="5">
        <v>-19.027000000000001</v>
      </c>
      <c r="C45" s="5">
        <v>-51.661000000000001</v>
      </c>
      <c r="D45" s="5">
        <v>-676.21100000000001</v>
      </c>
    </row>
    <row r="46" spans="1:4" x14ac:dyDescent="0.2">
      <c r="A46" s="4" t="s">
        <v>110</v>
      </c>
      <c r="B46" s="17" t="s">
        <v>13</v>
      </c>
      <c r="C46" s="4" t="s">
        <v>13</v>
      </c>
      <c r="D46" s="18">
        <v>-9.1010000000000009</v>
      </c>
    </row>
    <row r="47" spans="1:4" x14ac:dyDescent="0.2">
      <c r="A47" s="4" t="s">
        <v>111</v>
      </c>
      <c r="B47" s="18">
        <v>-31.84</v>
      </c>
      <c r="C47" s="4" t="s">
        <v>13</v>
      </c>
      <c r="D47" s="17" t="s">
        <v>13</v>
      </c>
    </row>
    <row r="48" spans="1:4" x14ac:dyDescent="0.2">
      <c r="A48" s="4" t="s">
        <v>112</v>
      </c>
      <c r="B48" s="5">
        <v>42.296999999999997</v>
      </c>
      <c r="C48" s="5">
        <v>49.57</v>
      </c>
      <c r="D48" s="5">
        <v>53.814</v>
      </c>
    </row>
    <row r="49" spans="1:4" x14ac:dyDescent="0.2">
      <c r="A49" s="4" t="s">
        <v>113</v>
      </c>
      <c r="B49" s="5">
        <v>-22.315000000000001</v>
      </c>
      <c r="C49" s="5">
        <v>-53.991999999999997</v>
      </c>
      <c r="D49" s="5">
        <v>-77.418999999999997</v>
      </c>
    </row>
    <row r="50" spans="1:4" x14ac:dyDescent="0.2">
      <c r="A50" s="4" t="s">
        <v>114</v>
      </c>
      <c r="B50" s="17" t="s">
        <v>13</v>
      </c>
      <c r="C50" s="5">
        <v>-11.438000000000001</v>
      </c>
      <c r="D50" s="18">
        <v>-11.438000000000001</v>
      </c>
    </row>
    <row r="51" spans="1:4" x14ac:dyDescent="0.2">
      <c r="A51" s="4" t="s">
        <v>115</v>
      </c>
      <c r="B51" s="5">
        <v>-1.0069999999999999</v>
      </c>
      <c r="C51" s="5">
        <v>-0.94799999999999995</v>
      </c>
      <c r="D51" s="5">
        <v>0.97</v>
      </c>
    </row>
    <row r="52" spans="1:4" x14ac:dyDescent="0.2">
      <c r="A52" s="6" t="s">
        <v>116</v>
      </c>
      <c r="B52" s="7">
        <v>758.27200000000005</v>
      </c>
      <c r="C52" s="7">
        <v>-451.726</v>
      </c>
      <c r="D52" s="7">
        <v>1477.076</v>
      </c>
    </row>
    <row r="53" spans="1:4" x14ac:dyDescent="0.2">
      <c r="A53" s="4" t="s">
        <v>117</v>
      </c>
      <c r="B53" s="5">
        <v>-1.17</v>
      </c>
      <c r="C53" s="5">
        <v>75.567999999999998</v>
      </c>
      <c r="D53" s="5">
        <v>-7.383</v>
      </c>
    </row>
    <row r="54" spans="1:4" x14ac:dyDescent="0.2">
      <c r="A54" s="4" t="s">
        <v>118</v>
      </c>
      <c r="B54" s="5">
        <v>952.12</v>
      </c>
      <c r="C54" s="5">
        <v>-156.773</v>
      </c>
      <c r="D54" s="5">
        <v>135.483</v>
      </c>
    </row>
    <row r="55" spans="1:4" x14ac:dyDescent="0.2">
      <c r="A55" s="6" t="s">
        <v>119</v>
      </c>
      <c r="B55" s="7">
        <v>837.56600000000003</v>
      </c>
      <c r="C55" s="7">
        <v>1789.6859999999999</v>
      </c>
      <c r="D55" s="7">
        <v>1632.913</v>
      </c>
    </row>
    <row r="56" spans="1:4" x14ac:dyDescent="0.2">
      <c r="A56" s="6" t="s">
        <v>120</v>
      </c>
      <c r="B56" s="7">
        <v>1789.6859999999999</v>
      </c>
      <c r="C56" s="7">
        <v>1632.913</v>
      </c>
      <c r="D56" s="7">
        <v>1768.396</v>
      </c>
    </row>
    <row r="57" spans="1:4" x14ac:dyDescent="0.2">
      <c r="A57" s="4" t="s">
        <v>121</v>
      </c>
      <c r="B57" s="4"/>
      <c r="C57" s="4"/>
      <c r="D57" s="4"/>
    </row>
    <row r="58" spans="1:4" x14ac:dyDescent="0.2">
      <c r="A58" s="4" t="s">
        <v>122</v>
      </c>
      <c r="B58" s="5">
        <v>312.87900000000002</v>
      </c>
      <c r="C58" s="5">
        <v>256.70400000000001</v>
      </c>
      <c r="D58" s="5">
        <v>189.256</v>
      </c>
    </row>
    <row r="59" spans="1:4" x14ac:dyDescent="0.2">
      <c r="A59" s="4" t="s">
        <v>123</v>
      </c>
      <c r="B59" s="5">
        <v>97.295000000000002</v>
      </c>
      <c r="C59" s="5">
        <v>166.84899999999999</v>
      </c>
      <c r="D59" s="5">
        <v>208.12899999999999</v>
      </c>
    </row>
    <row r="60" spans="1:4" x14ac:dyDescent="0.2">
      <c r="A60" s="4" t="s">
        <v>124</v>
      </c>
      <c r="B60" s="4"/>
      <c r="C60" s="4"/>
      <c r="D60" s="4"/>
    </row>
    <row r="61" spans="1:4" x14ac:dyDescent="0.2">
      <c r="A61" s="4" t="s">
        <v>125</v>
      </c>
      <c r="B61" s="5">
        <v>63.286000000000001</v>
      </c>
      <c r="C61" s="5">
        <v>67.146000000000001</v>
      </c>
      <c r="D61" s="5">
        <v>371.779</v>
      </c>
    </row>
    <row r="62" spans="1:4" x14ac:dyDescent="0.2">
      <c r="A62" s="4" t="s">
        <v>126</v>
      </c>
      <c r="B62" s="5">
        <v>445.31900000000002</v>
      </c>
      <c r="C62" s="4" t="s">
        <v>13</v>
      </c>
      <c r="D62" s="5">
        <v>2506.8850000000002</v>
      </c>
    </row>
    <row r="65" spans="1:1" x14ac:dyDescent="0.2">
      <c r="A65" s="8" t="s">
        <v>50</v>
      </c>
    </row>
  </sheetData>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D39"/>
  <sheetViews>
    <sheetView showGridLines="0" workbookViewId="0">
      <pane xSplit="1" ySplit="4" topLeftCell="B5" activePane="bottomRight" state="frozen"/>
      <selection pane="topRight"/>
      <selection pane="bottomLeft"/>
      <selection pane="bottomRight" activeCell="B32" sqref="B32:D32"/>
    </sheetView>
  </sheetViews>
  <sheetFormatPr baseColWidth="10" defaultColWidth="8.83203125" defaultRowHeight="15" x14ac:dyDescent="0.2"/>
  <cols>
    <col min="1" max="1" width="49.5" customWidth="1"/>
    <col min="2" max="4" width="16" customWidth="1"/>
  </cols>
  <sheetData>
    <row r="1" spans="1:4" ht="16" customHeight="1" x14ac:dyDescent="0.2">
      <c r="A1" s="1" t="s">
        <v>127</v>
      </c>
    </row>
    <row r="3" spans="1:4" x14ac:dyDescent="0.2">
      <c r="A3" s="2"/>
      <c r="B3" s="10" t="s">
        <v>52</v>
      </c>
      <c r="C3" s="10"/>
      <c r="D3" s="10"/>
    </row>
    <row r="4" spans="1:4" x14ac:dyDescent="0.2">
      <c r="A4" s="2"/>
      <c r="B4" s="3">
        <v>2024</v>
      </c>
      <c r="C4" s="3">
        <v>2025</v>
      </c>
      <c r="D4" s="3">
        <v>2026</v>
      </c>
    </row>
    <row r="5" spans="1:4" x14ac:dyDescent="0.2">
      <c r="A5" s="4" t="s">
        <v>128</v>
      </c>
      <c r="B5" s="4"/>
      <c r="C5" s="4"/>
      <c r="D5" s="4"/>
    </row>
    <row r="6" spans="1:4" x14ac:dyDescent="0.2">
      <c r="A6" s="4" t="s">
        <v>1</v>
      </c>
      <c r="B6" s="5">
        <v>2631.3690000000001</v>
      </c>
      <c r="C6" s="5">
        <v>3755.1640000000002</v>
      </c>
      <c r="D6" s="5">
        <v>5274.6289999999999</v>
      </c>
    </row>
    <row r="7" spans="1:4" x14ac:dyDescent="0.2">
      <c r="A7" s="4" t="s">
        <v>4</v>
      </c>
      <c r="B7" s="5">
        <v>2076.319</v>
      </c>
      <c r="C7" s="5">
        <v>2054.951</v>
      </c>
      <c r="D7" s="5">
        <v>1843.5519999999999</v>
      </c>
    </row>
    <row r="8" spans="1:4" x14ac:dyDescent="0.2">
      <c r="A8" s="6" t="s">
        <v>5</v>
      </c>
      <c r="B8" s="7">
        <v>4707.6880000000001</v>
      </c>
      <c r="C8" s="7">
        <v>5810.1149999999998</v>
      </c>
      <c r="D8" s="7">
        <v>7118.1809999999996</v>
      </c>
    </row>
    <row r="9" spans="1:4" x14ac:dyDescent="0.2">
      <c r="A9" s="4" t="s">
        <v>129</v>
      </c>
      <c r="B9" s="4"/>
      <c r="C9" s="4"/>
      <c r="D9" s="4"/>
    </row>
    <row r="10" spans="1:4" x14ac:dyDescent="0.2">
      <c r="A10" s="4" t="s">
        <v>1</v>
      </c>
      <c r="B10" s="5">
        <v>36.503999999999998</v>
      </c>
      <c r="C10" s="5">
        <v>38.584000000000003</v>
      </c>
      <c r="D10" s="5">
        <v>40.734999999999999</v>
      </c>
    </row>
    <row r="11" spans="1:4" x14ac:dyDescent="0.2">
      <c r="A11" s="4" t="s">
        <v>4</v>
      </c>
      <c r="B11" s="5">
        <v>55.097999999999999</v>
      </c>
      <c r="C11" s="5">
        <v>77.108000000000004</v>
      </c>
      <c r="D11" s="5">
        <v>99.643000000000001</v>
      </c>
    </row>
    <row r="12" spans="1:4" x14ac:dyDescent="0.2">
      <c r="A12" s="4" t="s">
        <v>130</v>
      </c>
      <c r="B12" s="5">
        <v>-91.602000000000004</v>
      </c>
      <c r="C12" s="5">
        <v>-115.69199999999999</v>
      </c>
      <c r="D12" s="5">
        <v>-140.37799999999999</v>
      </c>
    </row>
    <row r="13" spans="1:4" x14ac:dyDescent="0.2">
      <c r="A13" s="6" t="s">
        <v>131</v>
      </c>
      <c r="B13" s="6" t="s">
        <v>13</v>
      </c>
      <c r="C13" s="6" t="s">
        <v>13</v>
      </c>
      <c r="D13" s="6" t="s">
        <v>13</v>
      </c>
    </row>
    <row r="14" spans="1:4" x14ac:dyDescent="0.2">
      <c r="A14" s="4" t="s">
        <v>132</v>
      </c>
      <c r="B14" s="4"/>
      <c r="C14" s="4"/>
      <c r="D14" s="4"/>
    </row>
    <row r="15" spans="1:4" x14ac:dyDescent="0.2">
      <c r="A15" s="4" t="s">
        <v>1</v>
      </c>
      <c r="B15" s="5">
        <v>2167.9050000000002</v>
      </c>
      <c r="C15" s="5">
        <v>2889.9609999999998</v>
      </c>
      <c r="D15" s="5">
        <v>3985.6460000000002</v>
      </c>
    </row>
    <row r="16" spans="1:4" x14ac:dyDescent="0.2">
      <c r="A16" s="4" t="s">
        <v>4</v>
      </c>
      <c r="B16" s="5">
        <v>1833.711</v>
      </c>
      <c r="C16" s="5">
        <v>1724.569</v>
      </c>
      <c r="D16" s="5">
        <v>1520.422</v>
      </c>
    </row>
    <row r="17" spans="1:4" x14ac:dyDescent="0.2">
      <c r="A17" s="6" t="s">
        <v>133</v>
      </c>
      <c r="B17" s="7">
        <v>4001.616</v>
      </c>
      <c r="C17" s="7">
        <v>4614.53</v>
      </c>
      <c r="D17" s="7">
        <v>5506.0680000000002</v>
      </c>
    </row>
    <row r="18" spans="1:4" x14ac:dyDescent="0.2">
      <c r="A18" s="4" t="s">
        <v>134</v>
      </c>
      <c r="B18" s="4"/>
      <c r="C18" s="4"/>
      <c r="D18" s="4"/>
    </row>
    <row r="19" spans="1:4" x14ac:dyDescent="0.2">
      <c r="A19" s="4" t="s">
        <v>1</v>
      </c>
      <c r="B19" s="5">
        <v>499.96800000000002</v>
      </c>
      <c r="C19" s="5">
        <v>903.78700000000003</v>
      </c>
      <c r="D19" s="5">
        <v>1329.7190000000001</v>
      </c>
    </row>
    <row r="20" spans="1:4" x14ac:dyDescent="0.2">
      <c r="A20" s="4" t="s">
        <v>4</v>
      </c>
      <c r="B20" s="5">
        <v>297.70600000000002</v>
      </c>
      <c r="C20" s="5">
        <v>407.49</v>
      </c>
      <c r="D20" s="5">
        <v>422.77300000000002</v>
      </c>
    </row>
    <row r="21" spans="1:4" x14ac:dyDescent="0.2">
      <c r="A21" s="6" t="s">
        <v>135</v>
      </c>
      <c r="B21" s="7">
        <v>797.67399999999998</v>
      </c>
      <c r="C21" s="7">
        <v>1311.277</v>
      </c>
      <c r="D21" s="7">
        <v>1752.492</v>
      </c>
    </row>
    <row r="22" spans="1:4" x14ac:dyDescent="0.2">
      <c r="A22" s="4" t="s">
        <v>136</v>
      </c>
      <c r="B22" s="4"/>
      <c r="C22" s="4"/>
      <c r="D22" s="4"/>
    </row>
    <row r="23" spans="1:4" x14ac:dyDescent="0.2">
      <c r="A23" s="4" t="s">
        <v>137</v>
      </c>
      <c r="B23" s="5">
        <v>-179.624</v>
      </c>
      <c r="C23" s="5">
        <v>-274.33300000000003</v>
      </c>
      <c r="D23" s="5">
        <v>-296.74799999999999</v>
      </c>
    </row>
    <row r="24" spans="1:4" x14ac:dyDescent="0.2">
      <c r="A24" s="4" t="s">
        <v>138</v>
      </c>
      <c r="B24" s="5">
        <v>-126.895</v>
      </c>
      <c r="C24" s="5">
        <v>-160.97200000000001</v>
      </c>
      <c r="D24" s="5">
        <v>-193.804</v>
      </c>
    </row>
    <row r="25" spans="1:4" x14ac:dyDescent="0.2">
      <c r="A25" s="4" t="s">
        <v>139</v>
      </c>
      <c r="B25" s="5">
        <v>-27.053999999999998</v>
      </c>
      <c r="C25" s="5">
        <v>-160.08099999999999</v>
      </c>
      <c r="D25" s="5">
        <v>-63.39</v>
      </c>
    </row>
    <row r="26" spans="1:4" x14ac:dyDescent="0.2">
      <c r="A26" s="4" t="s">
        <v>58</v>
      </c>
      <c r="B26" s="17" t="s">
        <v>13</v>
      </c>
      <c r="C26" s="5">
        <v>-84.988</v>
      </c>
      <c r="D26" s="18">
        <v>-64.403999999999996</v>
      </c>
    </row>
    <row r="27" spans="1:4" x14ac:dyDescent="0.2">
      <c r="A27" s="4" t="s">
        <v>140</v>
      </c>
      <c r="B27" s="5">
        <v>-79.819999999999993</v>
      </c>
      <c r="C27" s="5">
        <v>-38.237000000000002</v>
      </c>
      <c r="D27" s="5">
        <v>-80.084000000000003</v>
      </c>
    </row>
    <row r="28" spans="1:4" x14ac:dyDescent="0.2">
      <c r="A28" s="4" t="s">
        <v>141</v>
      </c>
      <c r="B28" s="5">
        <v>-288.16000000000003</v>
      </c>
      <c r="C28" s="5">
        <v>-302.78800000000001</v>
      </c>
      <c r="D28" s="5">
        <v>-280.334</v>
      </c>
    </row>
    <row r="29" spans="1:4" x14ac:dyDescent="0.2">
      <c r="A29" s="4" t="s">
        <v>60</v>
      </c>
      <c r="B29" s="5">
        <v>-288.47500000000002</v>
      </c>
      <c r="C29" s="5">
        <v>-243.251</v>
      </c>
      <c r="D29" s="5">
        <v>-190.267</v>
      </c>
    </row>
    <row r="30" spans="1:4" x14ac:dyDescent="0.2">
      <c r="A30" s="4" t="s">
        <v>59</v>
      </c>
      <c r="B30" s="17" t="s">
        <v>13</v>
      </c>
      <c r="C30" s="4" t="s">
        <v>13</v>
      </c>
      <c r="D30" s="18">
        <v>124.133</v>
      </c>
    </row>
    <row r="31" spans="1:4" x14ac:dyDescent="0.2">
      <c r="A31" s="4" t="s">
        <v>61</v>
      </c>
      <c r="B31" s="5">
        <v>44.707000000000001</v>
      </c>
      <c r="C31" s="5">
        <v>47.554000000000002</v>
      </c>
      <c r="D31" s="5">
        <v>140.13900000000001</v>
      </c>
    </row>
    <row r="32" spans="1:4" x14ac:dyDescent="0.2">
      <c r="A32" s="6" t="s">
        <v>142</v>
      </c>
      <c r="B32" s="7">
        <v>-147.64699999999999</v>
      </c>
      <c r="C32" s="7">
        <v>94.180999999999997</v>
      </c>
      <c r="D32" s="7">
        <v>847.73299999999995</v>
      </c>
    </row>
    <row r="34" spans="1:1" x14ac:dyDescent="0.2">
      <c r="A34" s="11" t="s">
        <v>143</v>
      </c>
    </row>
    <row r="35" spans="1:1" x14ac:dyDescent="0.2">
      <c r="A35" s="11" t="s">
        <v>144</v>
      </c>
    </row>
    <row r="36" spans="1:1" x14ac:dyDescent="0.2">
      <c r="A36" s="11" t="s">
        <v>145</v>
      </c>
    </row>
    <row r="37" spans="1:1" x14ac:dyDescent="0.2">
      <c r="A37" s="11" t="s">
        <v>146</v>
      </c>
    </row>
    <row r="39" spans="1:1" x14ac:dyDescent="0.2">
      <c r="A39" s="8" t="s">
        <v>50</v>
      </c>
    </row>
  </sheetData>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D11"/>
  <sheetViews>
    <sheetView showGridLines="0" workbookViewId="0">
      <pane xSplit="1" ySplit="4" topLeftCell="B5" activePane="bottomRight" state="frozen"/>
      <selection pane="topRight"/>
      <selection pane="bottomLeft"/>
      <selection pane="bottomRight" activeCell="O36" sqref="O36"/>
    </sheetView>
  </sheetViews>
  <sheetFormatPr baseColWidth="10" defaultColWidth="8.83203125" defaultRowHeight="15" x14ac:dyDescent="0.2"/>
  <cols>
    <col min="1" max="1" width="31.5" customWidth="1"/>
    <col min="2" max="4" width="16" customWidth="1"/>
  </cols>
  <sheetData>
    <row r="1" spans="1:4" ht="16" customHeight="1" x14ac:dyDescent="0.2">
      <c r="A1" s="1" t="s">
        <v>147</v>
      </c>
    </row>
    <row r="3" spans="1:4" x14ac:dyDescent="0.2">
      <c r="A3" s="2"/>
      <c r="B3" s="10" t="s">
        <v>52</v>
      </c>
      <c r="C3" s="10"/>
      <c r="D3" s="10"/>
    </row>
    <row r="4" spans="1:4" x14ac:dyDescent="0.2">
      <c r="A4" s="2" t="s">
        <v>148</v>
      </c>
      <c r="B4" s="3">
        <v>2024</v>
      </c>
      <c r="C4" s="3">
        <v>2025</v>
      </c>
      <c r="D4" s="3">
        <v>2026</v>
      </c>
    </row>
    <row r="5" spans="1:4" x14ac:dyDescent="0.2">
      <c r="A5" s="4" t="s">
        <v>1</v>
      </c>
      <c r="B5" s="5">
        <v>213.69300000000001</v>
      </c>
      <c r="C5" s="5">
        <v>209.29300000000001</v>
      </c>
      <c r="D5" s="5">
        <v>212.56</v>
      </c>
    </row>
    <row r="6" spans="1:4" x14ac:dyDescent="0.2">
      <c r="A6" s="4" t="s">
        <v>4</v>
      </c>
      <c r="B6" s="5">
        <v>340.601</v>
      </c>
      <c r="C6" s="5">
        <v>339.37700000000001</v>
      </c>
      <c r="D6" s="5">
        <v>304.95999999999998</v>
      </c>
    </row>
    <row r="7" spans="1:4" x14ac:dyDescent="0.2">
      <c r="A7" s="4" t="s">
        <v>149</v>
      </c>
      <c r="B7" s="5">
        <v>5.4669999999999996</v>
      </c>
      <c r="C7" s="5">
        <v>4.9279999999999999</v>
      </c>
      <c r="D7" s="5">
        <v>4.375</v>
      </c>
    </row>
    <row r="8" spans="1:4" x14ac:dyDescent="0.2">
      <c r="A8" s="6" t="s">
        <v>150</v>
      </c>
      <c r="B8" s="7">
        <v>559.76099999999997</v>
      </c>
      <c r="C8" s="7">
        <v>553.59799999999996</v>
      </c>
      <c r="D8" s="7">
        <v>521.89499999999998</v>
      </c>
    </row>
    <row r="11" spans="1:4" x14ac:dyDescent="0.2">
      <c r="A11" s="8" t="s">
        <v>50</v>
      </c>
    </row>
  </sheetData>
  <pageMargins left="0.75" right="0.75" top="1" bottom="1" header="0.5" footer="0.5"/>
</worksheet>
</file>

<file path=docMetadata/LabelInfo.xml><?xml version="1.0" encoding="utf-8"?>
<clbl:labelList xmlns:clbl="http://schemas.microsoft.com/office/2020/mipLabelMetadata">
  <clbl:label id="{ca936f2b-b15a-4bc2-b91f-7ccbd76fa7d1}" enabled="0" method="" siteId="{ca936f2b-b15a-4bc2-b91f-7ccbd76fa7d1}" removed="1"/>
</clbl:labelLis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Fogli di lavoro</vt:lpstr>
      </vt:variant>
      <vt:variant>
        <vt:i4>12</vt:i4>
      </vt:variant>
    </vt:vector>
  </HeadingPairs>
  <TitlesOfParts>
    <vt:vector size="12" baseType="lpstr">
      <vt:lpstr>Operating model</vt:lpstr>
      <vt:lpstr>WACC</vt:lpstr>
      <vt:lpstr>Estimates</vt:lpstr>
      <vt:lpstr>Scenarios</vt:lpstr>
      <vt:lpstr>DCF</vt:lpstr>
      <vt:lpstr>Cross-check</vt:lpstr>
      <vt:lpstr>Comps</vt:lpstr>
      <vt:lpstr>Consolidated Balance Sheet</vt:lpstr>
      <vt:lpstr>Consolidated Income Stmt</vt:lpstr>
      <vt:lpstr>Consolidated Cash Flow</vt:lpstr>
      <vt:lpstr>Note 20 - Segment Results</vt:lpstr>
      <vt:lpstr>Note 20 - D&amp;A by Segment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Davide Morabito</cp:lastModifiedBy>
  <dcterms:created xsi:type="dcterms:W3CDTF">2026-08-20T06:27:39Z</dcterms:created>
  <dcterms:modified xsi:type="dcterms:W3CDTF">2026-09-19T09:29:52Z</dcterms:modified>
</cp:coreProperties>
</file>