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Davide/Library/Mobile Documents/com~apple~CloudDocs/Claude/"/>
    </mc:Choice>
  </mc:AlternateContent>
  <xr:revisionPtr revIDLastSave="0" documentId="13_ncr:1_{BFF6C581-E8AF-B24E-9578-82B5491360DE}" xr6:coauthVersionLast="47" xr6:coauthVersionMax="47" xr10:uidLastSave="{00000000-0000-0000-0000-000000000000}"/>
  <bookViews>
    <workbookView xWindow="0" yWindow="500" windowWidth="28800" windowHeight="15980" activeTab="4" xr2:uid="{00000000-000D-0000-FFFF-FFFF00000000}"/>
  </bookViews>
  <sheets>
    <sheet name="Operating model" sheetId="1" r:id="rId1"/>
    <sheet name="WACC" sheetId="7" r:id="rId2"/>
    <sheet name="Estimates" sheetId="8" r:id="rId3"/>
    <sheet name="Scenarios" sheetId="13" r:id="rId4"/>
    <sheet name="DCF" sheetId="9" r:id="rId5"/>
    <sheet name="Cross-check" sheetId="11" r:id="rId6"/>
    <sheet name="Comps" sheetId="12" r:id="rId7"/>
    <sheet name="Consolidated Balance Sheet" sheetId="2" r:id="rId8"/>
    <sheet name="Consolidated Income Stmt" sheetId="3" r:id="rId9"/>
    <sheet name="Consolidated Cash Flow" sheetId="4" r:id="rId10"/>
    <sheet name="Note 20 - Segment Results" sheetId="5" r:id="rId11"/>
    <sheet name="Note 20 - D&amp;A by Segment" sheetId="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13" l="1"/>
  <c r="C32" i="13" s="1"/>
  <c r="D34" i="12"/>
  <c r="D36" i="12" s="1"/>
  <c r="D33" i="12"/>
  <c r="C7" i="12"/>
  <c r="E7" i="12"/>
  <c r="E6" i="12"/>
  <c r="D53" i="1"/>
  <c r="E53" i="1"/>
  <c r="E55" i="1" s="1"/>
  <c r="C53" i="1"/>
  <c r="C15" i="11"/>
  <c r="L59" i="8"/>
  <c r="M59" i="8"/>
  <c r="N59" i="8"/>
  <c r="O59" i="8"/>
  <c r="K59" i="8"/>
  <c r="K31" i="8"/>
  <c r="N31" i="8"/>
  <c r="O31" i="8"/>
  <c r="M31" i="8"/>
  <c r="B5" i="13"/>
  <c r="E70" i="8"/>
  <c r="D36" i="11"/>
  <c r="C36" i="11"/>
  <c r="D30" i="11"/>
  <c r="C30" i="11"/>
  <c r="D24" i="11"/>
  <c r="C24" i="11"/>
  <c r="C2" i="11"/>
  <c r="C39" i="9"/>
  <c r="C38" i="9"/>
  <c r="C37" i="9"/>
  <c r="F20" i="9"/>
  <c r="E20" i="9"/>
  <c r="D20" i="9"/>
  <c r="C20" i="9"/>
  <c r="O14" i="9"/>
  <c r="N14" i="9"/>
  <c r="M14" i="9"/>
  <c r="L14" i="9"/>
  <c r="K14" i="9"/>
  <c r="J14" i="9"/>
  <c r="I14" i="9"/>
  <c r="H14" i="9"/>
  <c r="G14" i="9"/>
  <c r="F14" i="9"/>
  <c r="E14" i="9"/>
  <c r="D14" i="9"/>
  <c r="C14" i="9"/>
  <c r="F10" i="9"/>
  <c r="F8" i="9"/>
  <c r="G8" i="9" s="1"/>
  <c r="H8" i="9" s="1"/>
  <c r="I8" i="9" s="1"/>
  <c r="J8" i="9" s="1"/>
  <c r="K8" i="9" s="1"/>
  <c r="L8" i="9" s="1"/>
  <c r="M8" i="9" s="1"/>
  <c r="N8" i="9" s="1"/>
  <c r="O8" i="9" s="1"/>
  <c r="F83" i="8"/>
  <c r="F82" i="8"/>
  <c r="F80" i="8"/>
  <c r="F78" i="8"/>
  <c r="F76" i="8"/>
  <c r="F74" i="8"/>
  <c r="G73" i="8"/>
  <c r="E73" i="8"/>
  <c r="D73" i="8"/>
  <c r="C73" i="8"/>
  <c r="G72" i="8"/>
  <c r="E72" i="8"/>
  <c r="D72" i="8"/>
  <c r="C72" i="8"/>
  <c r="G71" i="8"/>
  <c r="E71" i="8"/>
  <c r="D71" i="8"/>
  <c r="C71" i="8"/>
  <c r="G70" i="8"/>
  <c r="D70" i="8"/>
  <c r="C70" i="8"/>
  <c r="G69" i="8"/>
  <c r="E69" i="8"/>
  <c r="D69" i="8"/>
  <c r="C69" i="8"/>
  <c r="G68" i="8"/>
  <c r="E68" i="8"/>
  <c r="D68" i="8"/>
  <c r="C68" i="8"/>
  <c r="F66" i="8"/>
  <c r="G66" i="8" s="1"/>
  <c r="H66" i="8" s="1"/>
  <c r="I66" i="8" s="1"/>
  <c r="J66" i="8" s="1"/>
  <c r="K66" i="8" s="1"/>
  <c r="L66" i="8" s="1"/>
  <c r="M66" i="8" s="1"/>
  <c r="N66" i="8" s="1"/>
  <c r="O66" i="8" s="1"/>
  <c r="J60" i="8"/>
  <c r="E56" i="8"/>
  <c r="D56" i="8"/>
  <c r="E55" i="8"/>
  <c r="E57" i="8" s="1"/>
  <c r="D55" i="8"/>
  <c r="D57" i="8" s="1"/>
  <c r="C55" i="8"/>
  <c r="F53" i="8"/>
  <c r="G53" i="8" s="1"/>
  <c r="H53" i="8" s="1"/>
  <c r="I53" i="8" s="1"/>
  <c r="J53" i="8" s="1"/>
  <c r="K53" i="8" s="1"/>
  <c r="L53" i="8" s="1"/>
  <c r="M53" i="8" s="1"/>
  <c r="N53" i="8" s="1"/>
  <c r="O53" i="8" s="1"/>
  <c r="F45" i="8"/>
  <c r="E45" i="8"/>
  <c r="D45" i="8"/>
  <c r="C45" i="8"/>
  <c r="F43" i="8"/>
  <c r="G43" i="8" s="1"/>
  <c r="H43" i="8" s="1"/>
  <c r="I43" i="8" s="1"/>
  <c r="J43" i="8" s="1"/>
  <c r="K43" i="8" s="1"/>
  <c r="L43" i="8" s="1"/>
  <c r="M43" i="8" s="1"/>
  <c r="N43" i="8" s="1"/>
  <c r="O43" i="8" s="1"/>
  <c r="J38" i="8"/>
  <c r="I38" i="8"/>
  <c r="H38" i="8"/>
  <c r="G38" i="8"/>
  <c r="K36" i="8"/>
  <c r="L36" i="8" s="1"/>
  <c r="M36" i="8" s="1"/>
  <c r="N36" i="8" s="1"/>
  <c r="O36" i="8" s="1"/>
  <c r="E36" i="8"/>
  <c r="D36" i="8"/>
  <c r="C36" i="8"/>
  <c r="C37" i="8" s="1"/>
  <c r="F33" i="8"/>
  <c r="F35" i="8" s="1"/>
  <c r="C33" i="8" a="1"/>
  <c r="F30" i="8"/>
  <c r="F32" i="8" s="1"/>
  <c r="C30" i="8" a="1"/>
  <c r="F27" i="8"/>
  <c r="C24" i="8" a="1"/>
  <c r="C23" i="8" a="1"/>
  <c r="F21" i="8"/>
  <c r="G21" i="8" s="1"/>
  <c r="H21" i="8" s="1"/>
  <c r="I21" i="8" s="1"/>
  <c r="J21" i="8" s="1"/>
  <c r="K21" i="8" s="1"/>
  <c r="L21" i="8" s="1"/>
  <c r="M21" i="8" s="1"/>
  <c r="N21" i="8" s="1"/>
  <c r="O21" i="8" s="1"/>
  <c r="C35" i="7"/>
  <c r="D27" i="7"/>
  <c r="G27" i="7" s="1"/>
  <c r="D26" i="7"/>
  <c r="G26" i="7" s="1"/>
  <c r="G25" i="7"/>
  <c r="C29" i="7" s="1"/>
  <c r="C30" i="7" s="1"/>
  <c r="D8" i="7" s="1"/>
  <c r="D6" i="7" s="1"/>
  <c r="D13" i="7"/>
  <c r="D11" i="7"/>
  <c r="F51" i="1"/>
  <c r="G51" i="1" s="1"/>
  <c r="H51" i="1" s="1"/>
  <c r="I51" i="1" s="1"/>
  <c r="J51" i="1" s="1"/>
  <c r="K51" i="1" s="1"/>
  <c r="L51" i="1" s="1"/>
  <c r="M51" i="1" s="1"/>
  <c r="N51" i="1" s="1"/>
  <c r="O51" i="1" s="1"/>
  <c r="G49" i="1"/>
  <c r="F49" i="1"/>
  <c r="E48" i="1"/>
  <c r="D48" i="1"/>
  <c r="F47" i="1"/>
  <c r="F48" i="1" s="1"/>
  <c r="F45" i="1"/>
  <c r="G45" i="1" s="1"/>
  <c r="H45" i="1" s="1"/>
  <c r="I45" i="1" s="1"/>
  <c r="J45" i="1" s="1"/>
  <c r="K45" i="1" s="1"/>
  <c r="L45" i="1" s="1"/>
  <c r="M45" i="1" s="1"/>
  <c r="N45" i="1" s="1"/>
  <c r="O45" i="1" s="1"/>
  <c r="E37" i="1"/>
  <c r="D37" i="1"/>
  <c r="C37" i="1"/>
  <c r="E33" i="1"/>
  <c r="D33" i="1"/>
  <c r="C33" i="1"/>
  <c r="F31" i="1"/>
  <c r="G31" i="1" s="1"/>
  <c r="H31" i="1" s="1"/>
  <c r="I31" i="1" s="1"/>
  <c r="J31" i="1" s="1"/>
  <c r="K31" i="1" s="1"/>
  <c r="L31" i="1" s="1"/>
  <c r="M31" i="1" s="1"/>
  <c r="N31" i="1" s="1"/>
  <c r="O31" i="1" s="1"/>
  <c r="E29" i="1"/>
  <c r="D29" i="1"/>
  <c r="C29" i="1"/>
  <c r="F26" i="1"/>
  <c r="G26" i="1" s="1"/>
  <c r="H26" i="1" s="1"/>
  <c r="I26" i="1" s="1"/>
  <c r="J26" i="1" s="1"/>
  <c r="K26" i="1" s="1"/>
  <c r="L26" i="1" s="1"/>
  <c r="M26" i="1" s="1"/>
  <c r="N26" i="1" s="1"/>
  <c r="O26" i="1" s="1"/>
  <c r="E22" i="1"/>
  <c r="D22" i="1"/>
  <c r="C22" i="1"/>
  <c r="F20" i="1"/>
  <c r="G20" i="1" s="1"/>
  <c r="H20" i="1" s="1"/>
  <c r="I20" i="1" s="1"/>
  <c r="J20" i="1" s="1"/>
  <c r="K20" i="1" s="1"/>
  <c r="L20" i="1" s="1"/>
  <c r="M20" i="1" s="1"/>
  <c r="N20" i="1" s="1"/>
  <c r="O20" i="1" s="1"/>
  <c r="J14" i="1"/>
  <c r="I14" i="1"/>
  <c r="H14" i="1"/>
  <c r="G14" i="1"/>
  <c r="E13" i="1"/>
  <c r="D13" i="1"/>
  <c r="C13" i="1"/>
  <c r="E9" i="1"/>
  <c r="D9" i="1"/>
  <c r="C9" i="1"/>
  <c r="F7" i="1"/>
  <c r="G7" i="1" s="1"/>
  <c r="H7" i="1" s="1"/>
  <c r="I7" i="1" s="1"/>
  <c r="J7" i="1" s="1"/>
  <c r="K7" i="1" s="1"/>
  <c r="L7" i="1" s="1"/>
  <c r="M7" i="1" s="1"/>
  <c r="N7" i="1" s="1"/>
  <c r="O7" i="1" s="1"/>
  <c r="C34" i="12"/>
  <c r="I17" i="12"/>
  <c r="I15" i="12"/>
  <c r="E13" i="12"/>
  <c r="C13" i="12"/>
  <c r="E11" i="12"/>
  <c r="C11" i="12"/>
  <c r="I11" i="12" s="1"/>
  <c r="E9" i="12"/>
  <c r="C9" i="12"/>
  <c r="I9" i="12" s="1"/>
  <c r="I13" i="12" l="1"/>
  <c r="D55" i="1"/>
  <c r="E10" i="13" a="1"/>
  <c r="K9" i="8" s="1"/>
  <c r="I10" i="1" s="1"/>
  <c r="E11" i="13" a="1"/>
  <c r="K10" i="8" s="1"/>
  <c r="J10" i="1" s="1"/>
  <c r="E12" i="13" a="1"/>
  <c r="L28" i="8" s="1"/>
  <c r="E13" i="13" a="1"/>
  <c r="L34" i="8" s="1"/>
  <c r="K34" i="8" s="1"/>
  <c r="E14" i="13" a="1"/>
  <c r="E9" i="13" a="1"/>
  <c r="G7" i="8" s="1"/>
  <c r="H7" i="8" s="1"/>
  <c r="I7" i="8" s="1"/>
  <c r="J7" i="8" s="1"/>
  <c r="G8" i="8" s="1"/>
  <c r="H8" i="8" s="1"/>
  <c r="I8" i="8" s="1"/>
  <c r="J8" i="8" s="1"/>
  <c r="C6" i="11"/>
  <c r="C31" i="12"/>
  <c r="C4" i="11"/>
  <c r="C30" i="12"/>
  <c r="C5" i="11"/>
  <c r="C29" i="12"/>
  <c r="D40" i="11"/>
  <c r="D41" i="11"/>
  <c r="C41" i="11"/>
  <c r="C40" i="11"/>
  <c r="F81" i="8"/>
  <c r="F79" i="8"/>
  <c r="F85" i="8" s="1"/>
  <c r="H73" i="8"/>
  <c r="H72" i="8"/>
  <c r="H71" i="8"/>
  <c r="H70" i="8"/>
  <c r="H69" i="8"/>
  <c r="H68" i="8"/>
  <c r="G74" i="8"/>
  <c r="E74" i="8"/>
  <c r="D74" i="8"/>
  <c r="C74" i="8"/>
  <c r="J61" i="8"/>
  <c r="F55" i="8"/>
  <c r="E38" i="8"/>
  <c r="E37" i="8"/>
  <c r="F38" i="8"/>
  <c r="D37" i="8"/>
  <c r="D38" i="8"/>
  <c r="E34" i="8"/>
  <c r="D34" i="8"/>
  <c r="C34" i="8"/>
  <c r="D35" i="8"/>
  <c r="E35" i="8"/>
  <c r="E32" i="8"/>
  <c r="E31" i="8"/>
  <c r="D32" i="8"/>
  <c r="D31" i="8"/>
  <c r="C31" i="8"/>
  <c r="F29" i="8"/>
  <c r="F39" i="8"/>
  <c r="C25" i="8"/>
  <c r="E25" i="8"/>
  <c r="E26" i="8"/>
  <c r="D25" i="8"/>
  <c r="D26" i="8"/>
  <c r="C27" i="8"/>
  <c r="C28" i="8" s="1"/>
  <c r="E27" i="8"/>
  <c r="D27" i="8"/>
  <c r="D5" i="7"/>
  <c r="D12" i="7"/>
  <c r="E56" i="1"/>
  <c r="E22" i="9"/>
  <c r="D22" i="9"/>
  <c r="E38" i="1"/>
  <c r="D38" i="1"/>
  <c r="E34" i="1"/>
  <c r="E41" i="1"/>
  <c r="D41" i="1"/>
  <c r="D39" i="1" s="1"/>
  <c r="D35" i="1"/>
  <c r="D34" i="1"/>
  <c r="C41" i="1"/>
  <c r="C35" i="1"/>
  <c r="E23" i="1"/>
  <c r="E39" i="8"/>
  <c r="E40" i="8" s="1"/>
  <c r="E12" i="9"/>
  <c r="E16" i="9" s="1"/>
  <c r="D39" i="8"/>
  <c r="D40" i="8" s="1"/>
  <c r="D12" i="9"/>
  <c r="D16" i="9" s="1"/>
  <c r="D23" i="1"/>
  <c r="C39" i="8"/>
  <c r="C40" i="8" s="1"/>
  <c r="C12" i="9"/>
  <c r="C16" i="9" s="1"/>
  <c r="F13" i="1"/>
  <c r="E14" i="1"/>
  <c r="D14" i="1"/>
  <c r="E10" i="1"/>
  <c r="E17" i="1"/>
  <c r="D10" i="1"/>
  <c r="D17" i="1"/>
  <c r="D11" i="1"/>
  <c r="C17" i="1"/>
  <c r="I22" i="12"/>
  <c r="I23" i="12"/>
  <c r="I19" i="12"/>
  <c r="I20" i="12"/>
  <c r="B6" i="9" l="1"/>
  <c r="C3" i="1" s="1"/>
  <c r="M28" i="8"/>
  <c r="N28" i="8" s="1"/>
  <c r="O28" i="8" s="1"/>
  <c r="K28" i="8"/>
  <c r="J28" i="8"/>
  <c r="I28" i="8"/>
  <c r="H28" i="8"/>
  <c r="G28" i="8"/>
  <c r="M34" i="8"/>
  <c r="N34" i="8" s="1"/>
  <c r="O34" i="8" s="1"/>
  <c r="G34" i="8"/>
  <c r="J34" i="8"/>
  <c r="I34" i="8"/>
  <c r="H34" i="8"/>
  <c r="C8" i="11"/>
  <c r="B13" i="11" s="1"/>
  <c r="F53" i="1"/>
  <c r="F55" i="1" s="1"/>
  <c r="I73" i="8"/>
  <c r="I72" i="8"/>
  <c r="I71" i="8"/>
  <c r="I70" i="8"/>
  <c r="I69" i="8"/>
  <c r="I68" i="8"/>
  <c r="H74" i="8"/>
  <c r="F56" i="8"/>
  <c r="F57" i="8"/>
  <c r="F63" i="8"/>
  <c r="F41" i="1" s="1"/>
  <c r="F22" i="1"/>
  <c r="F40" i="8"/>
  <c r="E28" i="8"/>
  <c r="E76" i="8" s="1"/>
  <c r="E29" i="8"/>
  <c r="D28" i="8"/>
  <c r="D76" i="8" s="1"/>
  <c r="D29" i="8"/>
  <c r="D17" i="7"/>
  <c r="C36" i="7"/>
  <c r="B5" i="9" s="1"/>
  <c r="E42" i="1"/>
  <c r="E18" i="9"/>
  <c r="E24" i="9" s="1"/>
  <c r="E43" i="1"/>
  <c r="D18" i="9"/>
  <c r="D24" i="9" s="1"/>
  <c r="D42" i="1"/>
  <c r="D43" i="1"/>
  <c r="C39" i="1"/>
  <c r="C18" i="9"/>
  <c r="C43" i="1"/>
  <c r="F9" i="1"/>
  <c r="G13" i="1"/>
  <c r="F15" i="1"/>
  <c r="E82" i="8"/>
  <c r="E83" i="8"/>
  <c r="E80" i="8"/>
  <c r="E18" i="1"/>
  <c r="E49" i="1"/>
  <c r="E46" i="8" s="1"/>
  <c r="F18" i="1"/>
  <c r="E10" i="9"/>
  <c r="D80" i="8"/>
  <c r="D82" i="8"/>
  <c r="D83" i="8"/>
  <c r="D18" i="1"/>
  <c r="D49" i="1"/>
  <c r="D46" i="8" s="1"/>
  <c r="D10" i="9"/>
  <c r="C15" i="1"/>
  <c r="C80" i="8"/>
  <c r="C82" i="8"/>
  <c r="C83" i="8"/>
  <c r="C49" i="1"/>
  <c r="C46" i="8" s="1"/>
  <c r="C76" i="8"/>
  <c r="C10" i="9"/>
  <c r="E39" i="1"/>
  <c r="E35" i="1"/>
  <c r="E78" i="8"/>
  <c r="E57" i="1"/>
  <c r="E24" i="1"/>
  <c r="E15" i="1"/>
  <c r="E11" i="1"/>
  <c r="D78" i="8"/>
  <c r="D57" i="1"/>
  <c r="D24" i="1"/>
  <c r="D15" i="1"/>
  <c r="C78" i="8"/>
  <c r="C24" i="1"/>
  <c r="C11" i="1"/>
  <c r="M14" i="1" l="1"/>
  <c r="K14" i="1"/>
  <c r="L14" i="1"/>
  <c r="N14" i="1"/>
  <c r="O14" i="1"/>
  <c r="M10" i="1"/>
  <c r="N10" i="1"/>
  <c r="O10" i="1"/>
  <c r="L10" i="1"/>
  <c r="K10" i="1"/>
  <c r="D17" i="11"/>
  <c r="C17" i="11"/>
  <c r="F56" i="1"/>
  <c r="F57" i="1"/>
  <c r="F22" i="9"/>
  <c r="J73" i="8"/>
  <c r="J72" i="8"/>
  <c r="J71" i="8"/>
  <c r="J70" i="8"/>
  <c r="J69" i="8"/>
  <c r="J68" i="8"/>
  <c r="I74" i="8"/>
  <c r="G55" i="8"/>
  <c r="F42" i="1"/>
  <c r="F43" i="1"/>
  <c r="F18" i="9"/>
  <c r="F23" i="1"/>
  <c r="F28" i="1"/>
  <c r="F24" i="1"/>
  <c r="F12" i="9"/>
  <c r="F16" i="9" s="1"/>
  <c r="B4" i="9"/>
  <c r="F4" i="9"/>
  <c r="C2" i="1"/>
  <c r="F10" i="1"/>
  <c r="F11" i="1"/>
  <c r="H13" i="1"/>
  <c r="E79" i="8"/>
  <c r="E81" i="8"/>
  <c r="D81" i="8"/>
  <c r="D79" i="8"/>
  <c r="D85" i="8" s="1"/>
  <c r="C79" i="8"/>
  <c r="C85" i="8" s="1"/>
  <c r="C81" i="8"/>
  <c r="C18" i="11"/>
  <c r="I4" i="9" l="1"/>
  <c r="J4" i="9"/>
  <c r="K4" i="9"/>
  <c r="L4" i="9"/>
  <c r="M4" i="9"/>
  <c r="N4" i="9"/>
  <c r="O4" i="9"/>
  <c r="G4" i="9"/>
  <c r="H4" i="9"/>
  <c r="K73" i="8"/>
  <c r="K72" i="8"/>
  <c r="K71" i="8"/>
  <c r="K70" i="8"/>
  <c r="K69" i="8"/>
  <c r="K68" i="8"/>
  <c r="J74" i="8"/>
  <c r="G57" i="8"/>
  <c r="G63" i="8"/>
  <c r="G41" i="1" s="1"/>
  <c r="F27" i="9"/>
  <c r="J6" i="8"/>
  <c r="I25" i="12"/>
  <c r="C6" i="12" s="1"/>
  <c r="C33" i="12" s="1"/>
  <c r="C36" i="12" s="1"/>
  <c r="I13" i="1"/>
  <c r="F24" i="9"/>
  <c r="E85" i="8"/>
  <c r="D86" i="8"/>
  <c r="L73" i="8" l="1"/>
  <c r="L72" i="8"/>
  <c r="L71" i="8"/>
  <c r="L70" i="8"/>
  <c r="L69" i="8"/>
  <c r="L68" i="8"/>
  <c r="K74" i="8"/>
  <c r="G42" i="1"/>
  <c r="G18" i="9"/>
  <c r="J13" i="1"/>
  <c r="E86" i="8"/>
  <c r="F86" i="8"/>
  <c r="F25" i="9"/>
  <c r="M73" i="8" l="1"/>
  <c r="M72" i="8"/>
  <c r="M71" i="8"/>
  <c r="M70" i="8"/>
  <c r="M69" i="8"/>
  <c r="M68" i="8"/>
  <c r="L74" i="8"/>
  <c r="K13" i="1"/>
  <c r="K7" i="8"/>
  <c r="G10" i="1" s="1"/>
  <c r="G9" i="1" s="1"/>
  <c r="N73" i="8" l="1"/>
  <c r="N72" i="8"/>
  <c r="N71" i="8"/>
  <c r="N70" i="8"/>
  <c r="N69" i="8"/>
  <c r="N68" i="8"/>
  <c r="M74" i="8"/>
  <c r="L13" i="1"/>
  <c r="G17" i="1"/>
  <c r="G11" i="1" s="1"/>
  <c r="K8" i="8"/>
  <c r="H10" i="1" s="1"/>
  <c r="H9" i="1" s="1"/>
  <c r="O73" i="8" l="1"/>
  <c r="O72" i="8"/>
  <c r="O71" i="8"/>
  <c r="O70" i="8"/>
  <c r="O69" i="8"/>
  <c r="O68" i="8"/>
  <c r="N74" i="8"/>
  <c r="M13" i="1"/>
  <c r="G43" i="1"/>
  <c r="G15" i="1"/>
  <c r="G80" i="8"/>
  <c r="G83" i="8"/>
  <c r="G82" i="8"/>
  <c r="G78" i="8"/>
  <c r="G33" i="8"/>
  <c r="G35" i="8" s="1"/>
  <c r="G45" i="8"/>
  <c r="G47" i="1" s="1"/>
  <c r="G76" i="8"/>
  <c r="G10" i="9"/>
  <c r="G18" i="1"/>
  <c r="G27" i="8"/>
  <c r="H17" i="1"/>
  <c r="H11" i="1" s="1"/>
  <c r="I9" i="1"/>
  <c r="O74" i="8" l="1"/>
  <c r="N13" i="1"/>
  <c r="G56" i="8"/>
  <c r="G48" i="1"/>
  <c r="G20" i="9"/>
  <c r="G81" i="8"/>
  <c r="G79" i="8"/>
  <c r="G29" i="8"/>
  <c r="H15" i="1"/>
  <c r="H78" i="8"/>
  <c r="H80" i="8"/>
  <c r="H82" i="8"/>
  <c r="H83" i="8"/>
  <c r="H33" i="8"/>
  <c r="H35" i="8" s="1"/>
  <c r="H18" i="1"/>
  <c r="H76" i="8"/>
  <c r="H10" i="9"/>
  <c r="H27" i="8"/>
  <c r="I17" i="1"/>
  <c r="I11" i="1" s="1"/>
  <c r="J9" i="1"/>
  <c r="G85" i="8" l="1"/>
  <c r="O13" i="1"/>
  <c r="H55" i="8"/>
  <c r="H79" i="8"/>
  <c r="H81" i="8"/>
  <c r="H29" i="8"/>
  <c r="I15" i="1"/>
  <c r="I78" i="8"/>
  <c r="I83" i="8"/>
  <c r="I80" i="8"/>
  <c r="I82" i="8"/>
  <c r="I33" i="8"/>
  <c r="I35" i="8" s="1"/>
  <c r="I76" i="8"/>
  <c r="I10" i="9"/>
  <c r="I27" i="8"/>
  <c r="I18" i="1"/>
  <c r="J17" i="1"/>
  <c r="J11" i="1" s="1"/>
  <c r="K9" i="1"/>
  <c r="G86" i="8" l="1"/>
  <c r="G53" i="1"/>
  <c r="G55" i="1" s="1"/>
  <c r="G22" i="9" s="1"/>
  <c r="H45" i="8"/>
  <c r="H63" i="8"/>
  <c r="H41" i="1" s="1"/>
  <c r="H57" i="8"/>
  <c r="I79" i="8"/>
  <c r="I81" i="8"/>
  <c r="I29" i="8"/>
  <c r="J15" i="1"/>
  <c r="J78" i="8"/>
  <c r="J80" i="8"/>
  <c r="J82" i="8"/>
  <c r="J83" i="8"/>
  <c r="J33" i="8"/>
  <c r="J35" i="8" s="1"/>
  <c r="J18" i="1"/>
  <c r="J76" i="8"/>
  <c r="J10" i="9"/>
  <c r="J27" i="8"/>
  <c r="L9" i="1"/>
  <c r="K17" i="1"/>
  <c r="K11" i="1" s="1"/>
  <c r="H85" i="8"/>
  <c r="G56" i="1" l="1"/>
  <c r="G57" i="1"/>
  <c r="I85" i="8"/>
  <c r="H46" i="8"/>
  <c r="H49" i="1" s="1"/>
  <c r="H47" i="1"/>
  <c r="H42" i="1"/>
  <c r="H43" i="1"/>
  <c r="H18" i="9"/>
  <c r="J79" i="8"/>
  <c r="J81" i="8"/>
  <c r="J29" i="8"/>
  <c r="M9" i="1"/>
  <c r="L17" i="1"/>
  <c r="L11" i="1" s="1"/>
  <c r="K15" i="1"/>
  <c r="K82" i="8"/>
  <c r="K78" i="8"/>
  <c r="K80" i="8"/>
  <c r="K83" i="8"/>
  <c r="K18" i="1"/>
  <c r="K33" i="8"/>
  <c r="K35" i="8" s="1"/>
  <c r="K76" i="8"/>
  <c r="K10" i="9"/>
  <c r="K27" i="8"/>
  <c r="H53" i="1"/>
  <c r="H55" i="1" s="1"/>
  <c r="H86" i="8"/>
  <c r="I86" i="8" l="1"/>
  <c r="I53" i="1"/>
  <c r="I55" i="1" s="1"/>
  <c r="H56" i="8"/>
  <c r="H48" i="1"/>
  <c r="H20" i="9"/>
  <c r="N9" i="1"/>
  <c r="M17" i="1"/>
  <c r="M11" i="1" s="1"/>
  <c r="L15" i="1"/>
  <c r="L80" i="8"/>
  <c r="L82" i="8"/>
  <c r="L83" i="8"/>
  <c r="L78" i="8"/>
  <c r="L18" i="1"/>
  <c r="L76" i="8"/>
  <c r="L10" i="9"/>
  <c r="L27" i="8"/>
  <c r="L33" i="8"/>
  <c r="L35" i="8" s="1"/>
  <c r="K79" i="8"/>
  <c r="K81" i="8"/>
  <c r="K29" i="8"/>
  <c r="H56" i="1"/>
  <c r="H57" i="1"/>
  <c r="H22" i="9"/>
  <c r="J85" i="8"/>
  <c r="I22" i="9" l="1"/>
  <c r="I56" i="1"/>
  <c r="I57" i="1"/>
  <c r="K85" i="8"/>
  <c r="I55" i="8"/>
  <c r="O9" i="1"/>
  <c r="N17" i="1"/>
  <c r="N11" i="1" s="1"/>
  <c r="M15" i="1"/>
  <c r="M80" i="8"/>
  <c r="M82" i="8"/>
  <c r="M83" i="8"/>
  <c r="M78" i="8"/>
  <c r="M18" i="1"/>
  <c r="M33" i="8"/>
  <c r="M35" i="8" s="1"/>
  <c r="M76" i="8"/>
  <c r="M10" i="9"/>
  <c r="M27" i="8"/>
  <c r="L79" i="8"/>
  <c r="L81" i="8"/>
  <c r="L29" i="8"/>
  <c r="J53" i="1"/>
  <c r="J55" i="1" s="1"/>
  <c r="J86" i="8"/>
  <c r="K86" i="8" l="1"/>
  <c r="K53" i="1"/>
  <c r="K55" i="1" s="1"/>
  <c r="I45" i="8"/>
  <c r="I57" i="8"/>
  <c r="I63" i="8"/>
  <c r="I41" i="1" s="1"/>
  <c r="O17" i="1"/>
  <c r="O11" i="1" s="1"/>
  <c r="N15" i="1"/>
  <c r="N83" i="8"/>
  <c r="N78" i="8"/>
  <c r="N80" i="8"/>
  <c r="N82" i="8"/>
  <c r="N18" i="1"/>
  <c r="N33" i="8"/>
  <c r="N35" i="8" s="1"/>
  <c r="N76" i="8"/>
  <c r="N10" i="9"/>
  <c r="N27" i="8"/>
  <c r="M79" i="8"/>
  <c r="M81" i="8"/>
  <c r="M29" i="8"/>
  <c r="J56" i="1"/>
  <c r="J57" i="1"/>
  <c r="J22" i="9"/>
  <c r="L85" i="8"/>
  <c r="I46" i="8" l="1"/>
  <c r="I49" i="1" s="1"/>
  <c r="I47" i="1"/>
  <c r="I43" i="1"/>
  <c r="I18" i="9"/>
  <c r="I42" i="1"/>
  <c r="O15" i="1"/>
  <c r="O78" i="8"/>
  <c r="O82" i="8"/>
  <c r="O80" i="8"/>
  <c r="O83" i="8"/>
  <c r="O18" i="1"/>
  <c r="O33" i="8"/>
  <c r="O35" i="8" s="1"/>
  <c r="O76" i="8"/>
  <c r="O10" i="9"/>
  <c r="O27" i="8"/>
  <c r="N79" i="8"/>
  <c r="N81" i="8"/>
  <c r="N29" i="8"/>
  <c r="L53" i="1"/>
  <c r="L55" i="1" s="1"/>
  <c r="L86" i="8"/>
  <c r="K22" i="9"/>
  <c r="K57" i="1"/>
  <c r="K56" i="1"/>
  <c r="M85" i="8"/>
  <c r="I56" i="8" l="1"/>
  <c r="I48" i="1"/>
  <c r="I20" i="9"/>
  <c r="O79" i="8"/>
  <c r="O81" i="8"/>
  <c r="O29" i="8"/>
  <c r="L56" i="1"/>
  <c r="L57" i="1"/>
  <c r="L22" i="9"/>
  <c r="M53" i="1"/>
  <c r="M55" i="1" s="1"/>
  <c r="M86" i="8"/>
  <c r="N85" i="8"/>
  <c r="J55" i="8" l="1"/>
  <c r="M56" i="1"/>
  <c r="M57" i="1"/>
  <c r="M22" i="9"/>
  <c r="N53" i="1"/>
  <c r="N55" i="1" s="1"/>
  <c r="N86" i="8"/>
  <c r="O85" i="8"/>
  <c r="J45" i="8" l="1"/>
  <c r="J63" i="8"/>
  <c r="J41" i="1" s="1"/>
  <c r="J57" i="8"/>
  <c r="N56" i="1"/>
  <c r="N57" i="1"/>
  <c r="N22" i="9"/>
  <c r="O53" i="1"/>
  <c r="O55" i="1" s="1"/>
  <c r="O86" i="8"/>
  <c r="J46" i="8" l="1"/>
  <c r="J49" i="1" s="1"/>
  <c r="J47" i="1"/>
  <c r="J42" i="1"/>
  <c r="J43" i="1"/>
  <c r="J18" i="9"/>
  <c r="O22" i="9"/>
  <c r="O56" i="1"/>
  <c r="O57" i="1"/>
  <c r="J56" i="8" l="1"/>
  <c r="J20" i="9"/>
  <c r="J48" i="1"/>
  <c r="K55" i="8" l="1"/>
  <c r="K45" i="8" l="1"/>
  <c r="K63" i="8"/>
  <c r="K41" i="1" s="1"/>
  <c r="K57" i="8"/>
  <c r="K46" i="8" l="1"/>
  <c r="K49" i="1" s="1"/>
  <c r="K47" i="1"/>
  <c r="K43" i="1"/>
  <c r="K18" i="9"/>
  <c r="K42" i="1"/>
  <c r="K56" i="8" l="1"/>
  <c r="K20" i="9"/>
  <c r="K48" i="1"/>
  <c r="L55" i="8" l="1"/>
  <c r="L45" i="8" l="1"/>
  <c r="L63" i="8"/>
  <c r="L41" i="1" s="1"/>
  <c r="L57" i="8"/>
  <c r="L46" i="8" l="1"/>
  <c r="L49" i="1" s="1"/>
  <c r="L47" i="1"/>
  <c r="L42" i="1"/>
  <c r="L43" i="1"/>
  <c r="L18" i="9"/>
  <c r="L56" i="8" l="1"/>
  <c r="L20" i="9"/>
  <c r="L48" i="1"/>
  <c r="M55" i="8" l="1"/>
  <c r="M45" i="8" l="1"/>
  <c r="M57" i="8"/>
  <c r="M63" i="8"/>
  <c r="M41" i="1" s="1"/>
  <c r="M46" i="8" l="1"/>
  <c r="M49" i="1" s="1"/>
  <c r="M47" i="1"/>
  <c r="M43" i="1"/>
  <c r="M42" i="1"/>
  <c r="M18" i="9"/>
  <c r="M56" i="8" l="1"/>
  <c r="M48" i="1"/>
  <c r="M20" i="9"/>
  <c r="N55" i="8" l="1"/>
  <c r="N45" i="8" l="1"/>
  <c r="N63" i="8"/>
  <c r="N41" i="1" s="1"/>
  <c r="N57" i="8"/>
  <c r="N46" i="8" l="1"/>
  <c r="N49" i="1" s="1"/>
  <c r="N47" i="1"/>
  <c r="N43" i="1"/>
  <c r="N42" i="1"/>
  <c r="N18" i="9"/>
  <c r="N56" i="8" l="1"/>
  <c r="N48" i="1"/>
  <c r="N20" i="9"/>
  <c r="O55" i="8" l="1"/>
  <c r="O57" i="8" l="1"/>
  <c r="O63" i="8"/>
  <c r="O41" i="1" s="1"/>
  <c r="O42" i="1" l="1"/>
  <c r="O18" i="9"/>
  <c r="O43" i="1"/>
  <c r="G27" i="9" l="1"/>
  <c r="H27" i="9" l="1"/>
  <c r="I27" i="9" l="1"/>
  <c r="J27" i="9" l="1"/>
  <c r="K27" i="9" l="1"/>
  <c r="L27" i="9" l="1"/>
  <c r="M27" i="9" l="1"/>
  <c r="N27" i="9" l="1"/>
  <c r="O27" i="9" l="1"/>
  <c r="J31" i="8" l="1"/>
  <c r="G31" i="8"/>
  <c r="H31" i="8"/>
  <c r="I31" i="8"/>
  <c r="G30" i="8"/>
  <c r="H30" i="8"/>
  <c r="I30" i="8"/>
  <c r="I39" i="8" s="1"/>
  <c r="M30" i="8"/>
  <c r="L30" i="8"/>
  <c r="L39" i="8" s="1"/>
  <c r="O30" i="8"/>
  <c r="O39" i="8" s="1"/>
  <c r="K30" i="8"/>
  <c r="K39" i="8" s="1"/>
  <c r="J30" i="8"/>
  <c r="N30" i="8"/>
  <c r="H39" i="8" l="1"/>
  <c r="I32" i="8"/>
  <c r="M39" i="8"/>
  <c r="M32" i="8"/>
  <c r="J32" i="8"/>
  <c r="J39" i="8"/>
  <c r="N32" i="8"/>
  <c r="I22" i="1"/>
  <c r="I40" i="8"/>
  <c r="O40" i="8"/>
  <c r="C4" i="1"/>
  <c r="C20" i="13" s="1"/>
  <c r="O22" i="1"/>
  <c r="K40" i="8"/>
  <c r="K22" i="1"/>
  <c r="G32" i="8"/>
  <c r="H32" i="8"/>
  <c r="G39" i="8"/>
  <c r="L22" i="1"/>
  <c r="L40" i="8"/>
  <c r="L32" i="8"/>
  <c r="K32" i="8"/>
  <c r="O32" i="8"/>
  <c r="N39" i="8"/>
  <c r="H40" i="8" l="1"/>
  <c r="H22" i="1"/>
  <c r="L23" i="1"/>
  <c r="M22" i="1"/>
  <c r="M40" i="8"/>
  <c r="J40" i="8"/>
  <c r="J22" i="1"/>
  <c r="K23" i="1" s="1"/>
  <c r="I12" i="9"/>
  <c r="I16" i="9" s="1"/>
  <c r="I24" i="9" s="1"/>
  <c r="I25" i="9" s="1"/>
  <c r="I24" i="1"/>
  <c r="I28" i="1"/>
  <c r="O49" i="8"/>
  <c r="O28" i="1"/>
  <c r="O24" i="1"/>
  <c r="O12" i="9"/>
  <c r="O16" i="9" s="1"/>
  <c r="K24" i="1"/>
  <c r="K28" i="1"/>
  <c r="K12" i="9"/>
  <c r="K16" i="9" s="1"/>
  <c r="K24" i="9" s="1"/>
  <c r="K25" i="9" s="1"/>
  <c r="G40" i="8"/>
  <c r="G22" i="1"/>
  <c r="D15" i="11"/>
  <c r="D18" i="11" s="1"/>
  <c r="L24" i="1"/>
  <c r="L12" i="9"/>
  <c r="L16" i="9" s="1"/>
  <c r="L24" i="9" s="1"/>
  <c r="L25" i="9" s="1"/>
  <c r="L28" i="1"/>
  <c r="N22" i="1"/>
  <c r="N40" i="8"/>
  <c r="I23" i="1" l="1"/>
  <c r="H12" i="9"/>
  <c r="H16" i="9" s="1"/>
  <c r="H24" i="9" s="1"/>
  <c r="H25" i="9" s="1"/>
  <c r="H28" i="1"/>
  <c r="H24" i="1"/>
  <c r="M24" i="1"/>
  <c r="M23" i="1"/>
  <c r="J23" i="1"/>
  <c r="J12" i="9"/>
  <c r="J16" i="9" s="1"/>
  <c r="J24" i="9" s="1"/>
  <c r="J25" i="9" s="1"/>
  <c r="J28" i="1"/>
  <c r="J24" i="1"/>
  <c r="M12" i="9"/>
  <c r="M16" i="9" s="1"/>
  <c r="M24" i="9" s="1"/>
  <c r="M25" i="9" s="1"/>
  <c r="M28" i="1"/>
  <c r="O50" i="8"/>
  <c r="O45" i="8" s="1"/>
  <c r="G24" i="1"/>
  <c r="G28" i="1"/>
  <c r="G12" i="9"/>
  <c r="G16" i="9" s="1"/>
  <c r="G24" i="9" s="1"/>
  <c r="G25" i="9" s="1"/>
  <c r="H23" i="1"/>
  <c r="G23" i="1"/>
  <c r="O23" i="1"/>
  <c r="N23" i="1"/>
  <c r="N12" i="9"/>
  <c r="N16" i="9" s="1"/>
  <c r="N24" i="9" s="1"/>
  <c r="N25" i="9" s="1"/>
  <c r="N28" i="1"/>
  <c r="N24" i="1"/>
  <c r="O46" i="8" l="1"/>
  <c r="O49" i="1" s="1"/>
  <c r="O47" i="1"/>
  <c r="O20" i="9" s="1"/>
  <c r="O24" i="9" s="1"/>
  <c r="O56" i="8" l="1"/>
  <c r="O48" i="1"/>
  <c r="O25" i="9"/>
  <c r="C33" i="9" s="1"/>
  <c r="C31" i="9"/>
  <c r="C32" i="9" s="1"/>
  <c r="C35" i="9" l="1"/>
  <c r="C45" i="11" l="1"/>
  <c r="C41" i="9"/>
  <c r="C45" i="9" s="1"/>
  <c r="B20" i="13" s="1"/>
  <c r="S34"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tc={061F00AD-825A-3943-8620-A5E81B6EF101}</author>
    <author>tc={19ECFC57-0BA4-0743-ADE5-F320FD88E58E}</author>
    <author>tc={19CBAA45-5F7A-244C-B6AC-4B9E4BFE2D63}</author>
    <author>tc={7790E908-AB46-064C-BB51-34C880A2A6D1}</author>
    <author>tc={80F76700-C6DE-334D-93EF-DCA2E573B3B3}</author>
    <author>tc={501646E3-3B23-B445-84C9-5FE5F9516F31}</author>
    <author>tc={D33DB4D6-E33E-DA4D-9F35-5DCAF725DEF4}</author>
  </authors>
  <commentList>
    <comment ref="K10" authorId="0" shapeId="0" xr:uid="{061F00AD-825A-3943-8620-A5E81B6EF10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Fade</t>
      </text>
    </comment>
    <comment ref="E14" authorId="1" shapeId="0" xr:uid="{19ECFC57-0BA4-0743-ADE5-F320FD88E58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Driver: cessione di attività (Aerospace &amp; Defense), non domanda bassa</t>
      </text>
    </comment>
    <comment ref="K14" authorId="2" shapeId="0" xr:uid="{19CBAA45-5F7A-244C-B6AC-4B9E4BFE2D63}">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Fade
</t>
      </text>
    </comment>
    <comment ref="F17" authorId="3" shapeId="0" xr:uid="{7790E908-AB46-064C-BB51-34C880A2A6D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Guidance: 
Q1 2027 revenues= 2,2-2,4 
Q4 2027 revenues= &gt;3,0
==&gt;revenues 2027E = 2,3+2,5+2,75+3,0= 10,55</t>
      </text>
    </comment>
    <comment ref="A20" authorId="4" shapeId="0" xr:uid="{80F76700-C6DE-334D-93EF-DCA2E573B3B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Divisione per segmenti non disponibile in 10K</t>
      </text>
    </comment>
    <comment ref="A26" authorId="5" shapeId="0" xr:uid="{501646E3-3B23-B445-84C9-5FE5F9516F3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Divisione per segmenti non disponibile in 10K</t>
      </text>
    </comment>
    <comment ref="F29" authorId="6" shapeId="0" xr:uid="{D33DB4D6-E33E-DA4D-9F35-5DCAF725DEF4}">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 statutory tax rate. ETR storico non utilizzabile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tc={0257D175-85AB-2B4D-98C1-8A595156F619}</author>
    <author>tc={160DB544-DCB5-3F41-8C1E-02B10B086C69}</author>
    <author>tc={06DB6832-7CCE-0941-9D00-7850888544DF}</author>
    <author>tc={C5989255-66E7-1E4F-9C1F-202F11C68BA5}</author>
    <author>tc={59A489CA-2CBF-3C4F-9966-110EDB50D2EA}</author>
    <author>tc={476AB9F9-5F2E-2049-9FA2-A5A1BD216D93}</author>
    <author>tc={75CF7005-C6A9-7144-B98A-0139FAF85E95}</author>
  </authors>
  <commentList>
    <comment ref="D4" authorId="0" shapeId="0" xr:uid="{0257D175-85AB-2B4D-98C1-8A595156F61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 FactSet</t>
      </text>
    </comment>
    <comment ref="D7" authorId="1" shapeId="0" xr:uid="{160DB544-DCB5-3F41-8C1E-02B10B086C6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10Y USA</t>
      </text>
    </comment>
    <comment ref="D9" authorId="2" shapeId="0" xr:uid="{06DB6832-7CCE-0941-9D00-7850888544DF}">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Damodaran
</t>
      </text>
    </comment>
    <comment ref="D14" authorId="3" shapeId="0" xr:uid="{C5989255-66E7-1E4F-9C1F-202F11C68BA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Damodaran</t>
      </text>
    </comment>
    <comment ref="D15" authorId="4" shapeId="0" xr:uid="{59A489CA-2CBF-3C4F-9966-110EDB50D2E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 statutory</t>
      </text>
    </comment>
    <comment ref="H24" authorId="5" shapeId="0" xr:uid="{476AB9F9-5F2E-2049-9FA2-A5A1BD216D9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Dati da FactSet</t>
      </text>
    </comment>
    <comment ref="C34" authorId="6" shapeId="0" xr:uid="{75CF7005-C6A9-7144-B98A-0139FAF85E9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Stima bottom-up sul mix di ricavi atteso al FY2036 usando i beta unlevered del campione settoriale USA di Damodaran, gennaio 2026, re-levered sulla struttura patrimoniale attuale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tc={88E4CDCB-0C2D-5D4F-ABF1-DF3432D89B63}</author>
    <author>tc={9FF27733-8D21-D343-B6E3-D9AE3A8247B5}</author>
    <author>tc={8E0A18C6-AB34-494D-9E10-F11FF18F3106}</author>
    <author>tc={BCCF94A8-42EB-3241-9FE4-5393F7572995}</author>
    <author>tc={EAB6F989-82EC-B749-AE17-214C19E06388}</author>
    <author>tc={E601283B-7B60-1C45-AC9C-83636733CFCF}</author>
    <author>tc={815E4253-8BE3-184F-B075-854EB69DECCC}</author>
    <author>tc={ABC1C3FC-2092-B340-B21A-FE1BBC1E728C}</author>
    <author>tc={80DD7A4A-B31B-AE4B-AE61-EAB0DF973506}</author>
    <author>tc={5C9E0848-AEF3-1C4C-B109-98FBACA05317}</author>
    <author>tc={9DCBE966-9E71-CC4D-BB07-2DD85509A7E0}</author>
    <author>tc={0A6435F5-C62D-FF4A-80DA-EAE4492BCF11}</author>
    <author>tc={334BAEA3-E628-D04E-A47B-C1E749D6DC96}</author>
    <author>tc={0C2FF988-1349-7248-9ABC-91D9574F51EE}</author>
    <author>tc={A7B7772F-1C86-7648-8A16-ACF13C27EA77}</author>
    <author>tc={FF4C6147-94F8-524F-BDB2-9D742A424DFE}</author>
    <author>tc={565A4550-7D7D-524E-8A59-0EC95CBDA0F0}</author>
    <author>tc={740ADEA0-3F4E-0D4E-A09B-9502F0A3CD4D}</author>
    <author>tc={B346291D-5E31-734C-85FC-9832D102F0CA}</author>
    <author>tc={50B6B29B-73AE-3E48-8408-7AD85CB72E32}</author>
    <author>tc={314F5E07-9328-E14E-82AC-EAF489C4F871}</author>
    <author>tc={079CE004-0DB4-234E-A841-63AD1DA87EA9}</author>
    <author>tc={61F1627B-87E2-6042-84F8-A58211011B44}</author>
    <author>tc={481BF65E-C450-2046-9CB6-4C52712BCBA8}</author>
    <author>tc={1FE5549F-06AB-1E40-9A7D-5F58ED7FE863}</author>
    <author>tc={752831E2-0212-A04A-8F48-852F04160AA9}</author>
    <author>tc={4F645672-C2D9-DD4F-B60A-6987DC8088CB}</author>
    <author>tc={2927FECF-3E87-F847-9A68-D2D69E7D02AE}</author>
    <author>tc={F3D82ADF-A868-7047-A97B-51E021E12F4E}</author>
    <author>tc={234E07FA-4293-704E-AF10-084BC3A653DC}</author>
    <author>tc={DBF57903-0270-3042-96BA-8EC3D2303E47}</author>
    <author>tc={85A98539-035F-3241-88B9-9F2B96CB33EB}</author>
    <author>tc={55D8043E-3F94-0941-9497-85BE20B184F4}</author>
    <author>tc={09B62919-6740-D44F-8DCB-41CD072D6FE1}</author>
    <author>tc={97668F59-29C2-C04D-B185-C2DC0F23EB36}</author>
    <author>tc={BE1E8862-7C52-7145-8A4E-F25BEF8371E9}</author>
    <author>tc={E90B3A69-9A6C-1E46-AD25-D8A06F7590A8}</author>
    <author>tc={A4152C05-3BF2-2948-89C1-4C74E058023B}</author>
    <author>tc={C41A44CD-CAF7-7743-AEAA-09D1DE6BD3FE}</author>
    <author>tc={8057CB7B-809B-3441-AA8F-19A45ABBE783}</author>
    <author>tc={D1DA62F9-CB6D-5247-962D-6F065C8C3D7F}</author>
  </authors>
  <commentList>
    <comment ref="C7" authorId="0" shapeId="0" xr:uid="{88E4CDCB-0C2D-5D4F-ABF1-DF3432D89B6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Fade trimestrale</t>
      </text>
    </comment>
    <comment ref="K7" authorId="1" shapeId="0" xr:uid="{9FF27733-8D21-D343-B6E3-D9AE3A8247B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Finestra di rischio ciclico, decelerazione. Fine della fase supply-constrained</t>
      </text>
    </comment>
    <comment ref="C8" authorId="2" shapeId="0" xr:uid="{8E0A18C6-AB34-494D-9E10-F11FF18F310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Fade trimestrale</t>
      </text>
    </comment>
    <comment ref="K8" authorId="3" shapeId="0" xr:uid="{BCCF94A8-42EB-3241-9FE4-5393F757299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Finestra di rischio ciclico</t>
      </text>
    </comment>
    <comment ref="K9" authorId="4" shapeId="0" xr:uid="{EAB6F989-82EC-B749-AE17-214C19E0638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Base case scenario da LightCounting</t>
      </text>
    </comment>
    <comment ref="K15" authorId="5" shapeId="0" xr:uid="{E601283B-7B60-1C45-AC9C-83636733CFCF}">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Ripresa
</t>
      </text>
    </comment>
    <comment ref="K16" authorId="6" shapeId="0" xr:uid="{815E4253-8BE3-184F-B075-854EB69DECC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Ripresa</t>
      </text>
    </comment>
    <comment ref="K17" authorId="7" shapeId="0" xr:uid="{ABC1C3FC-2092-B340-B21A-FE1BBC1E728C}">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Convergenza graduale al PIL nominale </t>
      </text>
    </comment>
    <comment ref="K18" authorId="8" shapeId="0" xr:uid="{80DD7A4A-B31B-AE4B-AE61-EAB0DF97350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Convergenza al PIL nominale</t>
      </text>
    </comment>
    <comment ref="F28" authorId="9" shapeId="0" xr:uid="{5C9E0848-AEF3-1C4C-B109-98FBACA0531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Guidance FY2027: non-GAAP Gross margin between 39,5 and 41,5 --&gt; punto medio: 40,5.
In FY2026 gap between non GAAP and GAAP Gross margin: 39,4-37,5= 1,9
--&gt; Gross margin FY2027 GAAP: 40,5-1,9= 38,6</t>
      </text>
    </comment>
    <comment ref="P28" authorId="10" shapeId="0" xr:uid="{9DCBE966-9E71-CC4D-BB07-2DD85509A7E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Espansione. Drivers:mix D&amp;C; InP 6" (4x output a metà costo/wafer,  da CFO)</t>
      </text>
    </comment>
    <comment ref="F31" authorId="11" shapeId="0" xr:uid="{0A6435F5-C62D-FF4A-80DA-EAE4492BCF1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Media storica</t>
      </text>
    </comment>
    <comment ref="L31" authorId="12" shapeId="0" xr:uid="{334BAEA3-E628-D04E-A47B-C1E749D6DC96}">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Storico piatto al 10%, ricavi in aumento
--&gt; assumo poca diluizione: -1% fino al FY 2033 e poi flat </t>
      </text>
    </comment>
    <comment ref="F34" authorId="13" shapeId="0" xr:uid="{0C2FF988-1349-7248-9ABC-91D9574F51E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Storico già in discesa</t>
      </text>
    </comment>
    <comment ref="E36" authorId="14" shapeId="0" xr:uid="{A7B7772F-1C86-7648-8A16-ACF13C27EA7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Anomalia data da "gain on sale of business"
Senza: restructuring (63,4) + impairment (64,4) = 127,8</t>
      </text>
    </comment>
    <comment ref="F36" authorId="15" shapeId="0" xr:uid="{FF4C6147-94F8-524F-BDB2-9D742A424DF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Fade da 127,8 (livello ricorrente FY2026)</t>
      </text>
    </comment>
    <comment ref="J36" authorId="16" shapeId="0" xr:uid="{565A4550-7D7D-524E-8A59-0EC95CBDA0F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Restructuring: deriva dalla fusione II-VI 2022
--&gt; Temporaneo.</t>
      </text>
    </comment>
    <comment ref="F45" authorId="17" shapeId="0" xr:uid="{740ADEA0-3F4E-0D4E-A09B-9502F0A3CD4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Metodo bottom-up sulla guidance</t>
      </text>
    </comment>
    <comment ref="H45" authorId="18" shapeId="0" xr:uid="{B346291D-5E31-734C-85FC-9832D102F0C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Capex = Deprec + ΔRicavi/efficienza
(metodo sales-to-capital)</t>
      </text>
    </comment>
    <comment ref="O45" authorId="19" shapeId="0" xr:uid="{50B6B29B-73AE-3E48-8408-7AD85CB72E32}">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Reinvestimento − ΔNWC + Deprec
</t>
      </text>
    </comment>
    <comment ref="F46" authorId="20" shapeId="0" xr:uid="{314F5E07-9328-E14E-82AC-EAF489C4F87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Run rate Q4 FY26 = 27,2%.
Guidance: "up sequencially"</t>
      </text>
    </comment>
    <comment ref="O48" authorId="21" shapeId="0" xr:uid="{079CE004-0DB4-234E-A841-63AD1DA87EA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Guidance: Payback =1,5 anni
Ricavi incrementali = (1/1,5)/(gross margin) OR (1/1,5)/(EBITDA)
--&gt; Media ricavi incrementali= 2,1</t>
      </text>
    </comment>
    <comment ref="F59" authorId="22" shapeId="0" xr:uid="{61F1627B-87E2-6042-84F8-A58211011B4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G59" authorId="23" shapeId="0" xr:uid="{481BF65E-C450-2046-9CB6-4C52712BCBA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H59" authorId="24" shapeId="0" xr:uid="{1FE5549F-06AB-1E40-9A7D-5F58ED7FE86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I59" authorId="25" shapeId="0" xr:uid="{752831E2-0212-A04A-8F48-852F04160AA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J59" authorId="26" shapeId="0" xr:uid="{4F645672-C2D9-DD4F-B60A-6987DC8088C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K59" authorId="27" shapeId="0" xr:uid="{2927FECF-3E87-F847-9A68-D2D69E7D02A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Residuo oltre l'orizzonte della nota diviso per 4 anni</t>
      </text>
    </comment>
    <comment ref="J60" authorId="28" shapeId="0" xr:uid="{F3D82ADF-A868-7047-A97B-51E021E12F4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Intangibili netti totali  = 2884,474
- trade names = 430
==&gt; 2454,474
Da 10k, nota "goodwill and other intangible assests"</t>
      </text>
    </comment>
    <comment ref="C68" authorId="29" shapeId="0" xr:uid="{234E07FA-4293-704E-AF10-084BC3A653D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Account receivables FY 2024 from 10K 25 = 848,542</t>
      </text>
    </comment>
    <comment ref="F68" authorId="30" shapeId="0" xr:uid="{DBF57903-0270-3042-96BA-8EC3D2303E47}">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Media storica 
</t>
      </text>
    </comment>
    <comment ref="C69" authorId="31" shapeId="0" xr:uid="{85A98539-035F-3241-88B9-9F2B96CB33E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Inventories FY 2024 from 10K 25 =1286,404</t>
      </text>
    </comment>
    <comment ref="E69" authorId="32" shapeId="0" xr:uid="{55D8043E-3F94-0941-9497-85BE20B184F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Driver jump: accumulo magazzino in vista del ramp</t>
      </text>
    </comment>
    <comment ref="F69" authorId="33" shapeId="0" xr:uid="{09B62919-6740-D44F-8DCB-41CD072D6FE1}">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FY2026 riflette l'accumulo di magazzino in vista del ramp produttivo  degli anni seguenti. FY2024 e FY2025 sono pre InP 6".
--&gt; 180 è una buona via di mezzo
</t>
      </text>
    </comment>
    <comment ref="C70" authorId="34" shapeId="0" xr:uid="{97668F59-29C2-C04D-B185-C2DC0F23EB3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Account payables FY 2024 from 10K 25 =631,548</t>
      </text>
    </comment>
    <comment ref="E70" authorId="35" shapeId="0" xr:uid="{BE1E8862-7C52-7145-8A4E-F25BEF8371E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Driver jump: debiti verso fornitori derivanti da CapEx,accumulo magazzino in vista del ramp</t>
      </text>
    </comment>
    <comment ref="F70" authorId="36" shapeId="0" xr:uid="{E90B3A69-9A6C-1E46-AD25-D8A06F7590A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Via di mezzo tra storico e picco</t>
      </text>
    </comment>
    <comment ref="E71" authorId="37" shapeId="0" xr:uid="{A4152C05-3BF2-2948-89C1-4C74E058023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Driver jump: anticipi ai fornitori pre ramp</t>
      </text>
    </comment>
    <comment ref="F71" authorId="38" shapeId="0" xr:uid="{C41A44CD-CAF7-7743-AEAA-09D1DE6BD3F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Via di mezzo tra storico e picco</t>
      </text>
    </comment>
    <comment ref="F72" authorId="39" shapeId="0" xr:uid="{8057CB7B-809B-3441-AA8F-19A45ABBE783}">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Livello storico </t>
      </text>
    </comment>
    <comment ref="F73" authorId="40" shapeId="0" xr:uid="{D1DA62F9-CB6D-5247-962D-6F065C8C3D7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Livello storico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tc={F0060545-45D0-A74F-8BB0-A23F7C13CE18}</author>
    <author>tc={A5BAAC2E-B40F-8041-A07F-5EC7C546B288}</author>
    <author>tc={2392A2FF-9C35-A146-9DA9-A972ACEC8E5B}</author>
    <author>tc={1FA6DFDE-9C67-CF44-99F7-960F446088C5}</author>
    <author>tc={D31EA64A-8906-7044-88E2-306676FF0428}</author>
    <author>tc={47B17152-4DDD-9642-ADEF-41B4A8136122}</author>
    <author>tc={AF896AF4-8740-7E49-8108-70F8DD46C1F4}</author>
  </authors>
  <commentList>
    <comment ref="B4" authorId="0" shapeId="0" xr:uid="{F0060545-45D0-A74F-8BB0-A23F7C13CE18}">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Il passaggio ai 1.6T ritarda. I concorrenti abbassano i prezzi sugli 800G. Il co-packaged optics arriva prima e toglie
mercato ai moduli tradizionali. 
BASE - L'AI prosegue come stima LightCounting. Il
passaggio 800G-&gt;1.6T avviene nei tempi previsti. Coherent tiene la sua posizione.
BULL - Il co-packaged optics slitta e i moduli 1.6T restano lo
standard più a lungo. Coherent produce internamente l'InP di conseguenza riesce a guadagnare quota.
</t>
      </text>
    </comment>
    <comment ref="A9" authorId="1" shapeId="0" xr:uid="{A5BAAC2E-B40F-8041-A07F-5EC7C546B288}">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I prezzi scendono più in fretta del previsto.
BASE - Crescita in linea con la guidance del management e con le stime di LightCounting.
BULL - La domanda supera la capacità del settore e i prezzi rimangono alti.
</t>
      </text>
    </comment>
    <comment ref="A10" authorId="2" shapeId="0" xr:uid="{2392A2FF-9C35-A146-9DA9-A972ACEC8E5B}">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Il passaggio ai 1.6T  slitta e i prezzi degli 800G sono sotto pressione.
BASE - Il mercato dei transceiver decelera dopo il picco, come
stima LightCounting.
BULL - I moduli tradizionali restano lo standard e Coherent guadagna quota.
</t>
      </text>
    </comment>
    <comment ref="A11" authorId="3" shapeId="0" xr:uid="{1FA6DFDE-9C67-CF44-99F7-960F446088C5}">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Il ciclo AI è maturo, la crescita rallenta.
BASE - Decelerazione graduale verso la crescita di lungo periodo.
BULL - Il ciclo AI si allunga grazie a nuovi investimenti.
</t>
      </text>
    </comment>
    <comment ref="A12" authorId="4" shapeId="0" xr:uid="{D31EA64A-8906-7044-88E2-306676FF042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Prezzi più bassi e mix
peggiore.
BASE - Coincide con l'obiettivo di lungo periodo dichiarato dal
management.
BULL  - Premio sui 1.6T,  la produzione interna dell'InP
abbassa i costi.</t>
      </text>
    </comment>
    <comment ref="A13" authorId="5" shapeId="0" xr:uid="{47B17152-4DDD-9642-ADEF-41B4A813612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I ricavi crescono meno, i costi fissi si diluiscono più lentamente.
BASE - Diluizione normale dei costi fissi su ricavi.
BULL - Ricavi più alti, stessa struttura di costi</t>
      </text>
    </comment>
    <comment ref="A14" authorId="6" shapeId="0" xr:uid="{AF896AF4-8740-7E49-8108-70F8DD46C1F4}">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crescita quasi zero, solo inflazione.
BASE - Crescita un po' più dell'economia.
BULL  - Crescita più veloce dell'economia
(Upper bound: risk free rate (4,68%). Lower bound: inflazione (2%).)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tc={1E208810-D3BE-0E47-B72C-11BDE645AE0A}</author>
  </authors>
  <commentList>
    <comment ref="C43" authorId="0" shapeId="0" xr:uid="{1E208810-D3BE-0E47-B72C-11BDE645AE0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tc={906858EC-D305-8B4E-912F-0188B78ACF29}</author>
  </authors>
  <commentList>
    <comment ref="C45" authorId="0" shapeId="0" xr:uid="{906858EC-D305-8B4E-912F-0188B78ACF2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Multiplo implicito nel DCF sotto la mediana dei peer.
--&gt;DCF più conservativo del mercato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tc={8E899737-B3F6-CB4E-9AA3-0903F5964F6B}</author>
    <author>tc={2B321163-9233-0A4D-845C-5B7644D7DD7F}</author>
    <author>tc={290FD8A1-F854-8E4D-A9C7-9F8D2CC4F600}</author>
    <author>tc={F52BA8C6-2755-0D42-807B-8CE7B26FA1E5}</author>
  </authors>
  <commentList>
    <comment ref="E6" authorId="0" shapeId="0" xr:uid="{8E899737-B3F6-CB4E-9AA3-0903F5964F6B}">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Consensus
</t>
      </text>
    </comment>
    <comment ref="E7" authorId="1" shapeId="0" xr:uid="{2B321163-9233-0A4D-845C-5B7644D7DD7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Dal modello</t>
      </text>
    </comment>
    <comment ref="C36" authorId="2" shapeId="0" xr:uid="{290FD8A1-F854-8E4D-A9C7-9F8D2CC4F60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 EBITDA di consensus</t>
      </text>
    </comment>
    <comment ref="D36" authorId="3" shapeId="0" xr:uid="{F52BA8C6-2755-0D42-807B-8CE7B26FA1E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 EBITDA del modello</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<sst xmlns="http://schemas.openxmlformats.org/spreadsheetml/2006/main" count="446" uniqueCount="290">
  <si>
    <t>Revenues</t>
  </si>
  <si>
    <t>Datacenter &amp; Communications</t>
  </si>
  <si>
    <t>% of sales</t>
  </si>
  <si>
    <t>% growth</t>
  </si>
  <si>
    <t>Industrial</t>
  </si>
  <si>
    <t>Total segment revenue</t>
  </si>
  <si>
    <t>Coherent Corp. and Subsidiaries - Consolidated Balance Sheets ($ in millions)</t>
  </si>
  <si>
    <t>June 30,</t>
  </si>
  <si>
    <t>Assets</t>
  </si>
  <si>
    <t>Current Assets</t>
  </si>
  <si>
    <t>Cash and cash equivalents</t>
  </si>
  <si>
    <t>Restricted cash, current</t>
  </si>
  <si>
    <t>Short-term investments</t>
  </si>
  <si>
    <t>—</t>
  </si>
  <si>
    <t>Accounts receivable - less allowance for doubtful accounts of $ 13,193 at June 30, 2026 and $ 12,189 at June 30, 2025</t>
  </si>
  <si>
    <t>Inventories</t>
  </si>
  <si>
    <t>Prepaid and refundable income taxes</t>
  </si>
  <si>
    <t>Prepaid and other current assets</t>
  </si>
  <si>
    <t>Total Current Assets</t>
  </si>
  <si>
    <t>Property, plant &amp; equipment, net</t>
  </si>
  <si>
    <t>Goodwill</t>
  </si>
  <si>
    <t>Other intangible assets, net</t>
  </si>
  <si>
    <t>Deferred income taxes</t>
  </si>
  <si>
    <t>Restricted cash, non-current</t>
  </si>
  <si>
    <t>Other assets</t>
  </si>
  <si>
    <t>Total Assets</t>
  </si>
  <si>
    <t>Liabilities, Mezzanine Equity and Shareholders' Equity</t>
  </si>
  <si>
    <t>Current Liabilities</t>
  </si>
  <si>
    <t>Current portion of long-term debt</t>
  </si>
  <si>
    <t>Accounts payable</t>
  </si>
  <si>
    <t>Accrued compensation and benefits</t>
  </si>
  <si>
    <t>Operating lease current liabilities</t>
  </si>
  <si>
    <t>Accrued income taxes payable</t>
  </si>
  <si>
    <t>Other accrued liabilities</t>
  </si>
  <si>
    <t>Total Current Liabilities</t>
  </si>
  <si>
    <t>Long-term debt</t>
  </si>
  <si>
    <t>Operating lease liabilities</t>
  </si>
  <si>
    <t>Other liabilities</t>
  </si>
  <si>
    <t>Total Liabilities</t>
  </si>
  <si>
    <t>Mezzanine Equity</t>
  </si>
  <si>
    <t>Series B redeemable convertible preferred stock, no par value, 5 % cumulative; issued - 0 and 215,000 shares at June 30, 2026 and June 30, 2025, respectively; redemption value - $ 0 and $ 2,540,110 , respectively</t>
  </si>
  <si>
    <t>Shareholders' Equity</t>
  </si>
  <si>
    <t>Common stock, no par value; authorized - 300,000,000 shares; issued - 212,615,894 shares at June 30, 2026; 171,849,325 shares at June 30, 2025</t>
  </si>
  <si>
    <t>Accumulated other comprehensive income (AOCI)</t>
  </si>
  <si>
    <t>Retained earnings</t>
  </si>
  <si>
    <t>Treasury stock, at cost; 16,863,102 shares at June 30, 2026 and 16,294,119 shares at June 30, 2025</t>
  </si>
  <si>
    <t>Total Coherent Corp. Shareholders' Equity</t>
  </si>
  <si>
    <t>Noncontrolling interests (NCI)</t>
  </si>
  <si>
    <t>Total Equity</t>
  </si>
  <si>
    <t>Total Liabilities, Mezzanine Equity and Shareholders' Equity</t>
  </si>
  <si>
    <t>Fonte: Coherent Corp., Form 10-K FY2026 (SEC EDGAR) - https://www.sec.gov/Archives/edgar/data/820318/000082031826000020/iivi-20260630.htm</t>
  </si>
  <si>
    <t>Coherent Corp. and Subsidiaries - Consolidated Statements of Earnings (Loss) ($ in millions, except per share data)</t>
  </si>
  <si>
    <t>Year Ended June 30,</t>
  </si>
  <si>
    <t>Costs, Expenses and Other Expense</t>
  </si>
  <si>
    <t>Cost of goods sold</t>
  </si>
  <si>
    <t>Research and development</t>
  </si>
  <si>
    <t>Selling, general and administrative</t>
  </si>
  <si>
    <t>Restructuring charges</t>
  </si>
  <si>
    <t>Impairment of assets held-for-sale</t>
  </si>
  <si>
    <t>Gain on sale of business</t>
  </si>
  <si>
    <t>Interest expense</t>
  </si>
  <si>
    <t>Other income, net</t>
  </si>
  <si>
    <t>Total Costs, Expenses and Other Expense</t>
  </si>
  <si>
    <t>Earnings (Loss) Before Income Taxes</t>
  </si>
  <si>
    <t>Income Tax Expense</t>
  </si>
  <si>
    <t>Net Earnings (Loss)</t>
  </si>
  <si>
    <t>Net Loss Attributable to Noncontrolling Interests</t>
  </si>
  <si>
    <t>Net Earnings (Loss) Attributable to Coherent Corp.</t>
  </si>
  <si>
    <t>Less: Dividends on Preferred Stock</t>
  </si>
  <si>
    <t>Net Earnings (Loss) Available to the Common Shareholders</t>
  </si>
  <si>
    <t>Basic Earnings (Loss) Per Share</t>
  </si>
  <si>
    <t>Diluted Earnings (Loss) Per Share</t>
  </si>
  <si>
    <t>Coherent Corp. and Subsidiaries - Consolidated Statements of Cash Flows ($ in millions)</t>
  </si>
  <si>
    <t>Cash Flows from Operating Activities</t>
  </si>
  <si>
    <t>Net earnings (loss)</t>
  </si>
  <si>
    <t>Adjustments to reconcile net earnings (loss) to net cash provided by operating activities:</t>
  </si>
  <si>
    <t>Depreciation</t>
  </si>
  <si>
    <t>Amortization</t>
  </si>
  <si>
    <t>Share-based compensation expense</t>
  </si>
  <si>
    <t>Non-cash restructuring and impairment charges</t>
  </si>
  <si>
    <t>Amortization of debt issuance costs</t>
  </si>
  <si>
    <t>Loss on disposals of property, plant &amp; equipment</t>
  </si>
  <si>
    <t>Unrealized losses (gains) on foreign currency remeasurements and transactions</t>
  </si>
  <si>
    <t>Loss (earnings) from equity investments</t>
  </si>
  <si>
    <t>Gain on sale of equity investment</t>
  </si>
  <si>
    <t>Loss on debt extinguishment</t>
  </si>
  <si>
    <t>Increase (decrease) in cash from changes in:</t>
  </si>
  <si>
    <t>Accounts receivable</t>
  </si>
  <si>
    <t>Contract liabilities</t>
  </si>
  <si>
    <t>Income taxes</t>
  </si>
  <si>
    <t>Other operating net assets (liabilities)</t>
  </si>
  <si>
    <t>Net cash provided by operating activities</t>
  </si>
  <si>
    <t>Cash Flows from Investing Activities</t>
  </si>
  <si>
    <t>Additions to property, plant &amp; equipment</t>
  </si>
  <si>
    <t>Purchases of intangible assets</t>
  </si>
  <si>
    <t>Proceeds from sale of equity investment</t>
  </si>
  <si>
    <t>Proceeds from the sale of business, net of fees</t>
  </si>
  <si>
    <t>Purchases of short-term investments</t>
  </si>
  <si>
    <t>Proceeds from sales/maturities of short-term investments</t>
  </si>
  <si>
    <t>Other investing activities</t>
  </si>
  <si>
    <t>Net cash used in investing activities</t>
  </si>
  <si>
    <t>Cash Flows from Financing Activities</t>
  </si>
  <si>
    <t>Sale of shares to noncontrolling interests</t>
  </si>
  <si>
    <t>Proceeds from borrowings of Term A Facility</t>
  </si>
  <si>
    <t>Proceeds from borrowings of Term B Facility</t>
  </si>
  <si>
    <t>Proceeds from borrowings of revolving credit facilities</t>
  </si>
  <si>
    <t>Proceeds from borrowings of other credit facilities</t>
  </si>
  <si>
    <t>Proceeds from issuance of common shares</t>
  </si>
  <si>
    <t>Payments on existing debt</t>
  </si>
  <si>
    <t>Payments on borrowings under revolving credit facilities</t>
  </si>
  <si>
    <t>Debt issuance costs</t>
  </si>
  <si>
    <t>Equity issuance costs</t>
  </si>
  <si>
    <t>Proceeds from exercises of stock options and purchases of stock under employee stock purchase plan</t>
  </si>
  <si>
    <t>Payments in satisfaction of employees’ minimum tax obligations</t>
  </si>
  <si>
    <t>Cash dividends paid</t>
  </si>
  <si>
    <t>Other financing activities</t>
  </si>
  <si>
    <t>Net cash provided by (used in) financing activities</t>
  </si>
  <si>
    <t>Effect of exchange rate changes on cash, cash equivalents, and restricted cash</t>
  </si>
  <si>
    <t>Net increase (decrease) in cash, cash equivalents, and restricted cash</t>
  </si>
  <si>
    <t>Cash, Cash Equivalents, and Restricted Cash at Beginning of Period</t>
  </si>
  <si>
    <t>Cash, Cash Equivalents, and Restricted Cash at End of Period</t>
  </si>
  <si>
    <t>Supplemental Information</t>
  </si>
  <si>
    <t>Cash paid for interest</t>
  </si>
  <si>
    <t>Cash paid for income taxes</t>
  </si>
  <si>
    <t>Non-Cash Investing and Financing Activities:</t>
  </si>
  <si>
    <t>Additions to property, plant &amp; equipment included in accounts payable</t>
  </si>
  <si>
    <t>Conversion of Series A and B preferred stock to common stock</t>
  </si>
  <si>
    <t>Note 20. Segment and Geographic Reporting - Segment results and reconciliation to earnings (loss) before income taxes ($ in millions)</t>
  </si>
  <si>
    <t>Segment revenue</t>
  </si>
  <si>
    <t>Intersegment revenue</t>
  </si>
  <si>
    <t>Elimination of intersegment revenue</t>
  </si>
  <si>
    <t>Total intersegment revenue</t>
  </si>
  <si>
    <t>Segment cost of goods sold and operating expenses (1)</t>
  </si>
  <si>
    <t>Total segment cost of goods sold and operating expenses</t>
  </si>
  <si>
    <t>Segment profit</t>
  </si>
  <si>
    <t>Total segment profit</t>
  </si>
  <si>
    <t>Unallocated Corporate expenses</t>
  </si>
  <si>
    <t>Corporate and centralized function costs (2)</t>
  </si>
  <si>
    <t>Share-based compensation</t>
  </si>
  <si>
    <t>Restructuring costs (3)</t>
  </si>
  <si>
    <t>Integration, site consolidation and other costs (4)</t>
  </si>
  <si>
    <t>Amortization of intangibles</t>
  </si>
  <si>
    <t>Earnings (loss) before income taxes</t>
  </si>
  <si>
    <t>(1) The significant expense category amount aligns with the segment-level information that is regularly provided to the CODM. Segment cost of goods sold and operating expenses primarily include manufacturing costs, labor and research and development costs, and exclude expenses and credits that are included in the Unallocated corporate expenses category.</t>
  </si>
  <si>
    <t>(2) We do not allocate corporate and centralized function costs that are not directly attributable to our operating segments.</t>
  </si>
  <si>
    <t>(3) See Note 12. Restructuring Plans for further information.</t>
  </si>
  <si>
    <t>(4) Integration, site consolidation and other costs are $80 million and $38 million in the years ended June 30, 2026 and June 30, 2025, respectively, and primarily consist of consulting and legal costs related to initiatives to integrate recent acquisitions into common technology systems, to divest businesses and simplify legal entity structure. Integration and site consolidation costs in the year ended June 30, 2024 primarily include consulting costs related to initiatives to integrate recent acquisitions into common technology systems and simplify legal entity structure, and employee severance and retention and other costs related to sites being shut down as part of our 2023 Restructuring Plan or Synergy and Site Consolidation Plan.</t>
  </si>
  <si>
    <t>Note 20. Segment and Geographic Reporting - Depreciation and amortization by segment ($ in millions)</t>
  </si>
  <si>
    <t>Depreciation and amortization</t>
  </si>
  <si>
    <t>Corporate and shared services</t>
  </si>
  <si>
    <t>Total depreciation and amortization</t>
  </si>
  <si>
    <t>EBIT</t>
  </si>
  <si>
    <t>Taxes</t>
  </si>
  <si>
    <t>TAX RATE</t>
  </si>
  <si>
    <t xml:space="preserve">% tax rate </t>
  </si>
  <si>
    <t>D&amp;A</t>
  </si>
  <si>
    <t>Total revenue</t>
  </si>
  <si>
    <t>Total D&amp;A</t>
  </si>
  <si>
    <t>% of D&amp;A</t>
  </si>
  <si>
    <t>CapEx</t>
  </si>
  <si>
    <t>CAPEX</t>
  </si>
  <si>
    <t>ΔNWC</t>
  </si>
  <si>
    <t>WACC</t>
  </si>
  <si>
    <t>Market Cap</t>
  </si>
  <si>
    <t>% of Equity</t>
  </si>
  <si>
    <t>Cost of Equity</t>
  </si>
  <si>
    <t>Risk Free Rate</t>
  </si>
  <si>
    <t>Beta</t>
  </si>
  <si>
    <t>Market Risk Premium</t>
  </si>
  <si>
    <t>Debt</t>
  </si>
  <si>
    <t>% of Debt</t>
  </si>
  <si>
    <t>Cost of Debt</t>
  </si>
  <si>
    <t>Tax Rate</t>
  </si>
  <si>
    <t>BETA</t>
  </si>
  <si>
    <t>Levered Beta</t>
  </si>
  <si>
    <t>Tax rate</t>
  </si>
  <si>
    <t>Unlevered Beta</t>
  </si>
  <si>
    <t>LITE</t>
  </si>
  <si>
    <t>FN</t>
  </si>
  <si>
    <t>CIEN</t>
  </si>
  <si>
    <t>Average unlevered Beta</t>
  </si>
  <si>
    <t>TGR</t>
  </si>
  <si>
    <t>REVENUES</t>
  </si>
  <si>
    <t>FY2028</t>
  </si>
  <si>
    <t>FY2029</t>
  </si>
  <si>
    <t>Q1</t>
  </si>
  <si>
    <t>Q2</t>
  </si>
  <si>
    <t>Q3</t>
  </si>
  <si>
    <t>Q4</t>
  </si>
  <si>
    <t>Annual</t>
  </si>
  <si>
    <t>FY2030</t>
  </si>
  <si>
    <t>FY2031</t>
  </si>
  <si>
    <t>D&amp;C</t>
  </si>
  <si>
    <t>FY 2027</t>
  </si>
  <si>
    <t>Q1%</t>
  </si>
  <si>
    <t>Q2%</t>
  </si>
  <si>
    <t>Q3%</t>
  </si>
  <si>
    <t>Q4%</t>
  </si>
  <si>
    <t>FY2027</t>
  </si>
  <si>
    <t>COGS</t>
  </si>
  <si>
    <t>Gross Profit</t>
  </si>
  <si>
    <t>R&amp;D</t>
  </si>
  <si>
    <t>SG&amp;A</t>
  </si>
  <si>
    <t>Altri costi operativi</t>
  </si>
  <si>
    <t>% of revenues</t>
  </si>
  <si>
    <t>Gross Margin</t>
  </si>
  <si>
    <t>EBIT Margin</t>
  </si>
  <si>
    <t>PP&amp;E</t>
  </si>
  <si>
    <t>DCF</t>
  </si>
  <si>
    <t>NOPAT</t>
  </si>
  <si>
    <t>NWC</t>
  </si>
  <si>
    <t>FCFF</t>
  </si>
  <si>
    <t>Rate</t>
  </si>
  <si>
    <t>Residuo</t>
  </si>
  <si>
    <t>Tempo</t>
  </si>
  <si>
    <t>DSO</t>
  </si>
  <si>
    <t>DIO</t>
  </si>
  <si>
    <t>DPO</t>
  </si>
  <si>
    <t>Prepaid and other CA %of revenues</t>
  </si>
  <si>
    <t>Accrued compensation %of revenues</t>
  </si>
  <si>
    <t>Other accrued liabilities %of revenues</t>
  </si>
  <si>
    <t>CCC</t>
  </si>
  <si>
    <t>Account receivables</t>
  </si>
  <si>
    <t>Prepaid and other CA</t>
  </si>
  <si>
    <t xml:space="preserve">Other accrued liabilities </t>
  </si>
  <si>
    <t xml:space="preserve">Accrued compensation </t>
  </si>
  <si>
    <t>PV of FCFF</t>
  </si>
  <si>
    <t>Terminal value</t>
  </si>
  <si>
    <t>PV of Terminal value</t>
  </si>
  <si>
    <t>Sum of PV FCFF</t>
  </si>
  <si>
    <t>Enterprise value</t>
  </si>
  <si>
    <t>Cash</t>
  </si>
  <si>
    <t>Equity Value</t>
  </si>
  <si>
    <t>Shares outstanding</t>
  </si>
  <si>
    <t>Implied share price</t>
  </si>
  <si>
    <t>ROIC</t>
  </si>
  <si>
    <t>Reinvestment rate</t>
  </si>
  <si>
    <t>Reinvestimento</t>
  </si>
  <si>
    <t>CapEx efficiency</t>
  </si>
  <si>
    <t>Market cap</t>
  </si>
  <si>
    <t>NCI</t>
  </si>
  <si>
    <t>EBITDA</t>
  </si>
  <si>
    <t>COHR</t>
  </si>
  <si>
    <t>EV</t>
  </si>
  <si>
    <t>EBITDA consensus</t>
  </si>
  <si>
    <t>EV/EBITDA consensus</t>
  </si>
  <si>
    <t xml:space="preserve">EV/EBITDA </t>
  </si>
  <si>
    <t>Median</t>
  </si>
  <si>
    <t>Mean</t>
  </si>
  <si>
    <t>DCF cross-check</t>
  </si>
  <si>
    <t xml:space="preserve">Ke terminale </t>
  </si>
  <si>
    <t>WACC terminale</t>
  </si>
  <si>
    <t>Discount factor</t>
  </si>
  <si>
    <t>Comps</t>
  </si>
  <si>
    <t>Peers</t>
  </si>
  <si>
    <t>IPGP</t>
  </si>
  <si>
    <t>MKSI</t>
  </si>
  <si>
    <t>EBITDA 2027</t>
  </si>
  <si>
    <t>EV/EBITDA 2027</t>
  </si>
  <si>
    <t>Mean_D&amp;C</t>
  </si>
  <si>
    <t>Median_D&amp;C</t>
  </si>
  <si>
    <t>Median_Industrial</t>
  </si>
  <si>
    <t>Equity value</t>
  </si>
  <si>
    <t>Target price</t>
  </si>
  <si>
    <t>Target_median</t>
  </si>
  <si>
    <t>Mean_Industrial</t>
  </si>
  <si>
    <t>WACC Terminale</t>
  </si>
  <si>
    <t>Scenarios</t>
  </si>
  <si>
    <t>Base</t>
  </si>
  <si>
    <t>Scenario</t>
  </si>
  <si>
    <t>Switch</t>
  </si>
  <si>
    <t>Override</t>
  </si>
  <si>
    <t>Bear</t>
  </si>
  <si>
    <t>Bull</t>
  </si>
  <si>
    <t>Driver</t>
  </si>
  <si>
    <t>Attivo</t>
  </si>
  <si>
    <t>D&amp;C Δ trim. FY28-29</t>
  </si>
  <si>
    <t>D&amp;C crescita FY2030</t>
  </si>
  <si>
    <t>D&amp;C crescita FY2031</t>
  </si>
  <si>
    <t>Gross margin terminale</t>
  </si>
  <si>
    <t>SG&amp;A terminale (% ricavi)</t>
  </si>
  <si>
    <t>ROIC terminale</t>
  </si>
  <si>
    <t>Account payables</t>
  </si>
  <si>
    <t xml:space="preserve">Beta terminale </t>
  </si>
  <si>
    <t>Spread BB</t>
  </si>
  <si>
    <t>Prezzo di mercato</t>
  </si>
  <si>
    <t>Probabilità base case implicita</t>
  </si>
  <si>
    <t>Probabilità bull case implicita</t>
  </si>
  <si>
    <t xml:space="preserve">Probabilità bear case </t>
  </si>
  <si>
    <t>Sensitivity Table (base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</si>
</sst>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
    <numFmt numFmtId="166" formatCode="0&quot;A&quot;"/>
    <numFmt numFmtId="167" formatCode="0&quot;E&quot;"/>
    <numFmt numFmtId="168" formatCode="#,##0.0"/>
    <numFmt numFmtId="169" formatCode=";;;"/>
  </numFmts>
  <fonts count="27" x14ac:knownFonts="1">
    <font>
      <sz val="11"/>
      <color theme="1"/>
      <name val="Calibri"/>
      <family val="2"/>
      <scheme val="minor"/>
    </font>
    <font>
      <b/>
      <sz val="12"/>
      <name val="Arial"/>
      <family val="2"/>
    </font>
    <font>
      <sz val="10"/>
      <name val="Arial"/>
      <family val="2"/>
    </font>
    <font>
      <b/>
      <sz val="10"/>
      <name val="Arial"/>
      <family val="2"/>
    </font>
    <font>
      <i/>
      <sz val="8"/>
      <color rgb="FF666666"/>
      <name val="Arial"/>
      <family val="2"/>
    </font>
    <font>
      <i/>
      <sz val="8"/>
      <color rgb="FF444444"/>
      <name val="Arial"/>
      <family val="2"/>
    </font>
    <font>
      <sz val="11"/>
      <color theme="0"/>
      <name val="Calibri"/>
      <family val="2"/>
      <scheme val="minor"/>
    </font>
    <font>
      <sz val="10"/>
      <color rgb="FF00B050"/>
      <name val="Arial"/>
      <family val="2"/>
    </font>
    <font>
      <i/>
      <sz val="11"/>
      <color theme="1"/>
      <name val="Calibri"/>
      <family val="2"/>
      <scheme val="minor"/>
    </font>
    <font>
      <b/>
      <i/>
      <sz val="11"/>
      <color theme="1"/>
      <name val="Calibri"/>
      <family val="2"/>
      <scheme val="minor"/>
    </font>
    <font>
      <b/>
      <sz val="11"/>
      <color theme="1"/>
      <name val="Calibri"/>
      <family val="2"/>
      <scheme val="minor"/>
    </font>
    <font>
      <b/>
      <sz val="11"/>
      <color rgb="FFFF0000"/>
      <name val="Calibri"/>
      <family val="2"/>
      <scheme val="minor"/>
    </font>
    <font>
      <b/>
      <i/>
      <sz val="11"/>
      <color rgb="FFFF0000"/>
      <name val="Calibri"/>
      <family val="2"/>
      <scheme val="minor"/>
    </font>
    <font>
      <b/>
      <sz val="10"/>
      <color rgb="FF00B050"/>
      <name val="Arial"/>
      <family val="2"/>
    </font>
    <font>
      <b/>
      <sz val="11"/>
      <color rgb="FF00B050"/>
      <name val="Calibri"/>
      <family val="2"/>
      <scheme val="minor"/>
    </font>
    <font>
      <b/>
      <sz val="10"/>
      <color theme="1"/>
      <name val="Arial"/>
      <family val="2"/>
    </font>
    <font>
      <sz val="11"/>
      <color rgb="FF0070C0"/>
      <name val="Calibri"/>
      <family val="2"/>
      <scheme val="minor"/>
    </font>
    <font>
      <b/>
      <sz val="10"/>
      <color rgb="FF0070C0"/>
      <name val="Arial"/>
      <family val="2"/>
    </font>
    <font>
      <i/>
      <sz val="11"/>
      <color rgb="FF0070C0"/>
      <name val="Calibri"/>
      <family val="2"/>
      <scheme val="minor"/>
    </font>
    <font>
      <sz val="10"/>
      <color theme="1"/>
      <name val="Arial"/>
      <family val="2"/>
    </font>
    <font>
      <b/>
      <sz val="11"/>
      <color rgb="FF0070C0"/>
      <name val="Calibri"/>
      <family val="2"/>
      <scheme val="minor"/>
    </font>
    <font>
      <sz val="11"/>
      <color theme="3" tint="0.39997558519241921"/>
      <name val="Calibri"/>
      <family val="2"/>
      <scheme val="minor"/>
    </font>
    <font>
      <b/>
      <sz val="11"/>
      <color theme="3" tint="0.39997558519241921"/>
      <name val="Calibri"/>
      <family val="2"/>
      <scheme val="minor"/>
    </font>
    <font>
      <sz val="11"/>
      <color rgb="FF00B050"/>
      <name val="Calibri"/>
      <family val="2"/>
      <scheme val="minor"/>
    </font>
    <font>
      <i/>
      <sz val="11"/>
      <color rgb="FF000000"/>
      <name val="Calibri"/>
      <family val="2"/>
      <scheme val="minor"/>
    </font>
    <font>
      <sz val="10"/>
      <color rgb="FF0070C0"/>
      <name val="Arial"/>
      <family val="2"/>
    </font>
    <font>
      <b/>
      <sz val="11"/>
      <color theme="0"/>
      <name val="Calibri"/>
      <family val="2"/>
      <scheme val="minor"/>
    </font>
  </fonts>
  <fills count="6">
    <fill>
      <patternFill patternType="none"/>
    </fill>
    <fill>
      <patternFill patternType="gray125"/>
    </fill>
    <fill>
      <patternFill patternType="solid">
        <fgColor rgb="FFDDE6F0"/>
      </patternFill>
    </fill>
    <fill>
      <patternFill patternType="solid">
        <fgColor theme="3" tint="0.39994506668294322"/>
        <bgColor indexed="64"/>
      </patternFill>
    </fill>
    <fill>
      <patternFill patternType="solid">
        <fgColor theme="0"/>
        <bgColor indexed="64"/>
      </patternFill>
    </fill>
    <fill>
      <patternFill patternType="solid">
        <fgColor theme="3" tint="-0.24994659260841701"/>
        <bgColor indexed="64"/>
      </patternFill>
    </fill>
  </fills>
  <borders count="21">
    <border>
      <left/>
      <right/>
      <top/>
      <bottom/>
      <diagonal/>
    </border>
    <border>
      <left/>
      <right/>
      <top/>
      <bottom style="thin">
        <color rgb="FF999999"/>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style="hair">
        <color auto="1"/>
      </right>
      <top/>
      <bottom style="thin">
        <color auto="1"/>
      </bottom>
      <diagonal/>
    </border>
    <border>
      <left/>
      <right style="hair">
        <color auto="1"/>
      </right>
      <top/>
      <bottom/>
      <diagonal/>
    </border>
    <border>
      <left/>
      <right style="hair">
        <color auto="1"/>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3">
    <xf numFmtId="0" fontId="0" fillId="0" borderId="0" xfId="0"/>
    <xf numFmtId="0" fontId="1" fillId="0" borderId="0" xfId="0" applyFont="1"/>
    <xf numFmtId="0" fontId="3" fillId="2" borderId="1" xfId="0" applyFont="1" applyFill="1" applyBorder="1" applyAlignment="1">
      <alignment horizontal="left" vertical="top"/>
    </xf>
    <xf numFmtId="1" fontId="3" fillId="2" borderId="1" xfId="0" applyNumberFormat="1" applyFont="1" applyFill="1" applyBorder="1" applyAlignment="1">
      <alignment horizontal="right"/>
    </xf>
    <xf numFmtId="0" fontId="2" fillId="0" borderId="0" xfId="0" applyFont="1" applyAlignment="1">
      <alignment horizontal="left" vertical="top"/>
    </xf>
    <xf numFmtId="164" fontId="2" fillId="0" borderId="0" xfId="0" applyNumberFormat="1" applyFont="1" applyAlignment="1">
      <alignment horizontal="right"/>
    </xf>
    <xf numFmtId="0" fontId="3" fillId="0" borderId="0" xfId="0" applyFont="1" applyAlignment="1">
      <alignment horizontal="left" vertical="top"/>
    </xf>
    <xf numFmtId="164" fontId="3" fillId="0" borderId="0" xfId="0" applyNumberFormat="1" applyFont="1" applyAlignment="1">
      <alignment horizontal="right"/>
    </xf>
    <xf numFmtId="0" fontId="4" fillId="0" borderId="0" xfId="0" applyFont="1"/>
    <xf numFmtId="165" fontId="2" fillId="0" borderId="0" xfId="0" applyNumberFormat="1" applyFont="1" applyAlignment="1">
      <alignment horizontal="right"/>
    </xf>
    <xf numFmtId="0" fontId="3" fillId="2" borderId="1" xfId="0" applyFont="1" applyFill="1" applyBorder="1" applyAlignment="1">
      <alignment horizontal="right"/>
    </xf>
    <xf numFmtId="0" fontId="5" fillId="0" borderId="0" xfId="0" applyFont="1"/>
    <xf numFmtId="0" fontId="6" fillId="3" borderId="0" xfId="0" applyFont="1" applyFill="1"/>
    <xf numFmtId="166" fontId="6" fillId="3" borderId="0" xfId="0" applyNumberFormat="1" applyFont="1" applyFill="1"/>
    <xf numFmtId="167" fontId="6" fillId="3" borderId="0" xfId="0" applyNumberFormat="1" applyFont="1" applyFill="1"/>
    <xf numFmtId="164" fontId="7" fillId="0" borderId="0" xfId="0" applyNumberFormat="1" applyFont="1" applyAlignment="1">
      <alignment horizontal="right"/>
    </xf>
    <xf numFmtId="0" fontId="8" fillId="0" borderId="0" xfId="0" applyFont="1"/>
    <xf numFmtId="0" fontId="2" fillId="0" borderId="0" xfId="0" applyFont="1" applyAlignment="1">
      <alignment horizontal="right"/>
    </xf>
    <xf numFmtId="164" fontId="2" fillId="0" borderId="0" xfId="0" applyNumberFormat="1" applyFont="1" applyAlignment="1">
      <alignment horizontal="left" vertical="top"/>
    </xf>
    <xf numFmtId="0" fontId="2" fillId="0" borderId="0" xfId="0" applyFont="1" applyAlignment="1">
      <alignment horizontal="right" vertical="top"/>
    </xf>
    <xf numFmtId="10" fontId="8" fillId="0" borderId="0" xfId="0" applyNumberFormat="1" applyFont="1"/>
    <xf numFmtId="0" fontId="3" fillId="0" borderId="2" xfId="0" applyFont="1" applyBorder="1" applyAlignment="1">
      <alignment horizontal="left" vertical="top"/>
    </xf>
    <xf numFmtId="0" fontId="10" fillId="0" borderId="3" xfId="0" applyFont="1" applyBorder="1"/>
    <xf numFmtId="164" fontId="3" fillId="0" borderId="3" xfId="0" applyNumberFormat="1" applyFont="1" applyBorder="1" applyAlignment="1">
      <alignment horizontal="right"/>
    </xf>
    <xf numFmtId="10" fontId="9" fillId="0" borderId="5" xfId="0" applyNumberFormat="1" applyFont="1" applyBorder="1"/>
    <xf numFmtId="10" fontId="10" fillId="0" borderId="6" xfId="0" applyNumberFormat="1" applyFont="1" applyBorder="1"/>
    <xf numFmtId="10" fontId="9" fillId="0" borderId="6" xfId="0" applyNumberFormat="1" applyFont="1" applyBorder="1"/>
    <xf numFmtId="10" fontId="11" fillId="0" borderId="6" xfId="0" applyNumberFormat="1" applyFont="1" applyBorder="1"/>
    <xf numFmtId="10" fontId="9" fillId="0" borderId="8" xfId="0" applyNumberFormat="1" applyFont="1" applyBorder="1"/>
    <xf numFmtId="10" fontId="10" fillId="0" borderId="0" xfId="0" applyNumberFormat="1" applyFont="1"/>
    <xf numFmtId="10" fontId="9" fillId="0" borderId="0" xfId="0" applyNumberFormat="1" applyFont="1"/>
    <xf numFmtId="10" fontId="9" fillId="0" borderId="9" xfId="0" applyNumberFormat="1" applyFont="1" applyBorder="1"/>
    <xf numFmtId="10" fontId="12" fillId="0" borderId="0" xfId="0" applyNumberFormat="1" applyFont="1"/>
    <xf numFmtId="164" fontId="13" fillId="0" borderId="3" xfId="0" applyNumberFormat="1" applyFont="1" applyBorder="1" applyAlignment="1">
      <alignment horizontal="right"/>
    </xf>
    <xf numFmtId="168" fontId="13" fillId="0" borderId="3" xfId="0" applyNumberFormat="1" applyFont="1" applyBorder="1" applyAlignment="1">
      <alignment horizontal="right"/>
    </xf>
    <xf numFmtId="2" fontId="13" fillId="0" borderId="3" xfId="0" applyNumberFormat="1" applyFont="1" applyBorder="1" applyAlignment="1">
      <alignment horizontal="right"/>
    </xf>
    <xf numFmtId="2" fontId="15" fillId="0" borderId="3" xfId="0" applyNumberFormat="1" applyFont="1" applyBorder="1" applyAlignment="1">
      <alignment horizontal="right"/>
    </xf>
    <xf numFmtId="0" fontId="0" fillId="3" borderId="0" xfId="0" applyFill="1"/>
    <xf numFmtId="0" fontId="0" fillId="4" borderId="0" xfId="0" applyFill="1"/>
    <xf numFmtId="4" fontId="0" fillId="0" borderId="0" xfId="0" applyNumberFormat="1"/>
    <xf numFmtId="10" fontId="0" fillId="0" borderId="0" xfId="0" applyNumberFormat="1"/>
    <xf numFmtId="4" fontId="16" fillId="0" borderId="0" xfId="0" applyNumberFormat="1" applyFont="1"/>
    <xf numFmtId="0" fontId="10" fillId="0" borderId="0" xfId="0" applyFont="1"/>
    <xf numFmtId="10" fontId="16" fillId="0" borderId="0" xfId="0" applyNumberFormat="1" applyFont="1"/>
    <xf numFmtId="4" fontId="10" fillId="0" borderId="0" xfId="0" applyNumberFormat="1" applyFont="1"/>
    <xf numFmtId="0" fontId="10" fillId="0" borderId="2" xfId="0" applyFont="1" applyBorder="1"/>
    <xf numFmtId="0" fontId="10" fillId="0" borderId="5" xfId="0" applyFont="1" applyBorder="1"/>
    <xf numFmtId="166" fontId="6" fillId="3" borderId="11" xfId="0" applyNumberFormat="1" applyFont="1" applyFill="1" applyBorder="1"/>
    <xf numFmtId="0" fontId="0" fillId="0" borderId="11" xfId="0" applyBorder="1"/>
    <xf numFmtId="164" fontId="7" fillId="0" borderId="11" xfId="0" applyNumberFormat="1" applyFont="1" applyBorder="1" applyAlignment="1">
      <alignment horizontal="right"/>
    </xf>
    <xf numFmtId="10" fontId="8" fillId="0" borderId="11" xfId="0" applyNumberFormat="1" applyFont="1" applyBorder="1"/>
    <xf numFmtId="164" fontId="3" fillId="0" borderId="12" xfId="0" applyNumberFormat="1" applyFont="1" applyBorder="1" applyAlignment="1">
      <alignment horizontal="right"/>
    </xf>
    <xf numFmtId="10" fontId="9" fillId="0" borderId="10" xfId="0" applyNumberFormat="1" applyFont="1" applyBorder="1"/>
    <xf numFmtId="10" fontId="9" fillId="0" borderId="11" xfId="0" applyNumberFormat="1" applyFont="1" applyBorder="1"/>
    <xf numFmtId="10" fontId="10" fillId="0" borderId="10" xfId="0" applyNumberFormat="1" applyFont="1" applyBorder="1"/>
    <xf numFmtId="164" fontId="17" fillId="0" borderId="3" xfId="0" applyNumberFormat="1" applyFont="1" applyBorder="1" applyAlignment="1">
      <alignment horizontal="right"/>
    </xf>
    <xf numFmtId="164" fontId="19" fillId="0" borderId="0" xfId="0" applyNumberFormat="1" applyFont="1" applyAlignment="1">
      <alignment horizontal="right"/>
    </xf>
    <xf numFmtId="10" fontId="9" fillId="0" borderId="13" xfId="0" applyNumberFormat="1" applyFont="1" applyBorder="1"/>
    <xf numFmtId="10" fontId="18" fillId="0" borderId="0" xfId="0" applyNumberFormat="1" applyFont="1"/>
    <xf numFmtId="10" fontId="8" fillId="0" borderId="14" xfId="0" applyNumberFormat="1" applyFont="1" applyBorder="1"/>
    <xf numFmtId="164" fontId="3" fillId="0" borderId="4" xfId="0" applyNumberFormat="1" applyFont="1" applyBorder="1" applyAlignment="1">
      <alignment horizontal="right"/>
    </xf>
    <xf numFmtId="10" fontId="9" fillId="0" borderId="7" xfId="0" applyNumberFormat="1" applyFont="1" applyBorder="1"/>
    <xf numFmtId="4" fontId="21" fillId="0" borderId="0" xfId="0" applyNumberFormat="1" applyFont="1"/>
    <xf numFmtId="10" fontId="22" fillId="0" borderId="0" xfId="0" applyNumberFormat="1" applyFont="1"/>
    <xf numFmtId="4" fontId="23" fillId="0" borderId="0" xfId="0" applyNumberFormat="1" applyFont="1"/>
    <xf numFmtId="10" fontId="24" fillId="0" borderId="0" xfId="0" applyNumberFormat="1" applyFont="1"/>
    <xf numFmtId="4" fontId="10" fillId="0" borderId="3" xfId="0" applyNumberFormat="1" applyFont="1" applyBorder="1"/>
    <xf numFmtId="4" fontId="10" fillId="0" borderId="4" xfId="0" applyNumberFormat="1" applyFont="1" applyBorder="1"/>
    <xf numFmtId="10" fontId="9" fillId="0" borderId="14" xfId="0" applyNumberFormat="1" applyFont="1" applyBorder="1"/>
    <xf numFmtId="4" fontId="14" fillId="0" borderId="0" xfId="0" applyNumberFormat="1" applyFont="1"/>
    <xf numFmtId="10" fontId="20" fillId="0" borderId="6" xfId="0" applyNumberFormat="1" applyFont="1" applyBorder="1"/>
    <xf numFmtId="4" fontId="10" fillId="0" borderId="15" xfId="0" applyNumberFormat="1" applyFont="1" applyBorder="1"/>
    <xf numFmtId="10" fontId="20" fillId="0" borderId="7" xfId="0" applyNumberFormat="1" applyFont="1" applyBorder="1"/>
    <xf numFmtId="0" fontId="0" fillId="5" borderId="0" xfId="0" applyFill="1"/>
    <xf numFmtId="0" fontId="6" fillId="5" borderId="0" xfId="0" applyFont="1" applyFill="1"/>
    <xf numFmtId="0" fontId="10" fillId="0" borderId="16" xfId="0" applyFont="1" applyBorder="1"/>
    <xf numFmtId="0" fontId="0" fillId="0" borderId="17" xfId="0" applyBorder="1"/>
    <xf numFmtId="4" fontId="10" fillId="0" borderId="17" xfId="0" applyNumberFormat="1" applyFont="1" applyBorder="1"/>
    <xf numFmtId="4" fontId="10" fillId="0" borderId="18" xfId="0" applyNumberFormat="1" applyFont="1" applyBorder="1"/>
    <xf numFmtId="4" fontId="25" fillId="0" borderId="0" xfId="0" applyNumberFormat="1" applyFont="1"/>
    <xf numFmtId="2" fontId="0" fillId="0" borderId="0" xfId="0" applyNumberFormat="1"/>
    <xf numFmtId="4" fontId="14" fillId="0" borderId="3" xfId="0" applyNumberFormat="1" applyFont="1" applyBorder="1"/>
    <xf numFmtId="4" fontId="0" fillId="0" borderId="11" xfId="0" applyNumberFormat="1" applyBorder="1"/>
    <xf numFmtId="0" fontId="0" fillId="0" borderId="10" xfId="0" applyBorder="1"/>
    <xf numFmtId="2" fontId="15" fillId="0" borderId="15" xfId="0" applyNumberFormat="1" applyFont="1" applyBorder="1" applyAlignment="1">
      <alignment horizontal="right"/>
    </xf>
    <xf numFmtId="10" fontId="10" fillId="0" borderId="13" xfId="0" applyNumberFormat="1" applyFont="1" applyBorder="1"/>
    <xf numFmtId="2" fontId="15" fillId="0" borderId="12" xfId="0" applyNumberFormat="1" applyFont="1" applyBorder="1" applyAlignment="1">
      <alignment horizontal="right"/>
    </xf>
    <xf numFmtId="4" fontId="13" fillId="0" borderId="3" xfId="0" applyNumberFormat="1" applyFont="1" applyBorder="1" applyAlignment="1">
      <alignment horizontal="right"/>
    </xf>
    <xf numFmtId="4" fontId="13" fillId="0" borderId="12" xfId="0" applyNumberFormat="1" applyFont="1" applyBorder="1" applyAlignment="1">
      <alignment horizontal="right"/>
    </xf>
    <xf numFmtId="4" fontId="2" fillId="0" borderId="0" xfId="0" applyNumberFormat="1" applyFont="1" applyAlignment="1">
      <alignment horizontal="right" vertical="top"/>
    </xf>
    <xf numFmtId="2" fontId="10" fillId="0" borderId="17" xfId="0" applyNumberFormat="1" applyFont="1" applyBorder="1"/>
    <xf numFmtId="10" fontId="0" fillId="0" borderId="11" xfId="0" applyNumberFormat="1" applyBorder="1"/>
    <xf numFmtId="4" fontId="10" fillId="0" borderId="19" xfId="0" applyNumberFormat="1" applyFont="1" applyBorder="1"/>
    <xf numFmtId="2" fontId="0" fillId="0" borderId="11" xfId="0" applyNumberFormat="1" applyBorder="1"/>
    <xf numFmtId="0" fontId="10" fillId="0" borderId="6" xfId="0" applyFont="1" applyBorder="1"/>
    <xf numFmtId="4" fontId="10" fillId="0" borderId="12" xfId="0" applyNumberFormat="1" applyFont="1" applyBorder="1"/>
    <xf numFmtId="0" fontId="10" fillId="0" borderId="10" xfId="0" applyFont="1" applyBorder="1"/>
    <xf numFmtId="4" fontId="10" fillId="0" borderId="6" xfId="0" applyNumberFormat="1" applyFont="1" applyBorder="1"/>
    <xf numFmtId="4" fontId="10" fillId="0" borderId="7" xfId="0" applyNumberFormat="1" applyFont="1" applyBorder="1"/>
    <xf numFmtId="10" fontId="10" fillId="0" borderId="4" xfId="0" applyNumberFormat="1" applyFont="1" applyBorder="1"/>
    <xf numFmtId="166" fontId="6" fillId="0" borderId="0" xfId="0" applyNumberFormat="1" applyFont="1"/>
    <xf numFmtId="167" fontId="6" fillId="0" borderId="0" xfId="0" applyNumberFormat="1" applyFont="1"/>
    <xf numFmtId="0" fontId="20" fillId="0" borderId="0" xfId="0" applyFont="1"/>
    <xf numFmtId="0" fontId="10" fillId="0" borderId="8" xfId="0" applyFont="1" applyBorder="1"/>
    <xf numFmtId="0" fontId="0" fillId="0" borderId="6" xfId="0" applyBorder="1"/>
    <xf numFmtId="0" fontId="23" fillId="0" borderId="0" xfId="0" applyFont="1"/>
    <xf numFmtId="0" fontId="6" fillId="0" borderId="0" xfId="0" applyFont="1"/>
    <xf numFmtId="10" fontId="10" fillId="0" borderId="7" xfId="0" applyNumberFormat="1" applyFont="1" applyBorder="1"/>
    <xf numFmtId="169" fontId="0" fillId="0" borderId="0" xfId="0" applyNumberFormat="1"/>
    <xf numFmtId="0" fontId="26" fillId="3" borderId="0" xfId="0" applyFont="1" applyFill="1"/>
    <xf numFmtId="4" fontId="0" fillId="0" borderId="2" xfId="0" applyNumberFormat="1" applyBorder="1"/>
    <xf numFmtId="4" fontId="0" fillId="0" borderId="3" xfId="0" applyNumberFormat="1" applyBorder="1"/>
    <xf numFmtId="4" fontId="0" fillId="0" borderId="4" xfId="0" applyNumberFormat="1" applyBorder="1"/>
    <xf numFmtId="4" fontId="0" fillId="0" borderId="8" xfId="0" applyNumberFormat="1" applyBorder="1"/>
    <xf numFmtId="4" fontId="0" fillId="0" borderId="9" xfId="0" applyNumberFormat="1" applyBorder="1"/>
    <xf numFmtId="4" fontId="0" fillId="0" borderId="5" xfId="0" applyNumberFormat="1" applyBorder="1"/>
    <xf numFmtId="4" fontId="0" fillId="0" borderId="6" xfId="0" applyNumberFormat="1" applyBorder="1"/>
    <xf numFmtId="4" fontId="0" fillId="0" borderId="7" xfId="0" applyNumberFormat="1" applyBorder="1"/>
    <xf numFmtId="10" fontId="10" fillId="0" borderId="9" xfId="0" applyNumberFormat="1" applyFont="1" applyBorder="1"/>
    <xf numFmtId="0" fontId="0" fillId="0" borderId="0" xfId="0" applyAlignment="1">
      <alignment horizontal="center"/>
    </xf>
    <xf numFmtId="4" fontId="0" fillId="0" borderId="0" xfId="0" applyNumberFormat="1" applyAlignment="1">
      <alignment horizontal="center"/>
    </xf>
    <xf numFmtId="10" fontId="0" fillId="0" borderId="0" xfId="0" applyNumberFormat="1" applyAlignment="1">
      <alignment horizontal="center"/>
    </xf>
    <xf numFmtId="4" fontId="10" fillId="0" borderId="20" xfId="0" applyNumberFormat="1" applyFont="1" applyBorder="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vide Morabito" id="{F89EDB22-7672-F645-92D6-BD25E4A6FC47}" userId="S::davide.morabito751@edu.unito.it::0a37ccb9-55ba-4598-93e2-7e919060dda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0" dT="2026-08-22T07:50:09.01" personId="{F89EDB22-7672-F645-92D6-BD25E4A6FC47}" id="{061F00AD-825A-3943-8620-A5E81B6EF101}">
    <text>Fade</text>
  </threadedComment>
  <threadedComment ref="E14" dT="2026-09-05T10:31:27.15" personId="{F89EDB22-7672-F645-92D6-BD25E4A6FC47}" id="{19ECFC57-0BA4-0743-ADE5-F320FD88E58E}">
    <text>Driver: cessione di attività (Aerospace &amp; Defense), non domanda bassa</text>
  </threadedComment>
  <threadedComment ref="K14" dT="2026-08-22T09:12:24.32" personId="{F89EDB22-7672-F645-92D6-BD25E4A6FC47}" id="{19CBAA45-5F7A-244C-B6AC-4B9E4BFE2D63}">
    <text xml:space="preserve">Fade
</text>
  </threadedComment>
  <threadedComment ref="F17" dT="2026-08-21T09:03:27.35" personId="{F89EDB22-7672-F645-92D6-BD25E4A6FC47}" id="{7790E908-AB46-064C-BB51-34C880A2A6D1}">
    <text>Guidance: 
Q1 2027 revenues= 2,2-2,4 
Q4 2027 revenues= &gt;3,0
==&gt;revenues 2027E = 2,3+2,5+2,75+3,0= 10,55</text>
  </threadedComment>
  <threadedComment ref="A20" dT="2026-08-20T07:08:48.03" personId="{F89EDB22-7672-F645-92D6-BD25E4A6FC47}" id="{80F76700-C6DE-334D-93EF-DCA2E573B3B3}">
    <text>Divisione per segmenti non disponibile in 10K</text>
  </threadedComment>
  <threadedComment ref="A26" dT="2026-08-20T07:16:08.75" personId="{F89EDB22-7672-F645-92D6-BD25E4A6FC47}" id="{501646E3-3B23-B445-84C9-5FE5F9516F31}">
    <text>Divisione per segmenti non disponibile in 10K</text>
  </threadedComment>
  <threadedComment ref="F29" dT="2026-08-23T13:55:43.18" personId="{F89EDB22-7672-F645-92D6-BD25E4A6FC47}" id="{D33DB4D6-E33E-DA4D-9F35-5DCAF725DEF4}">
    <text xml:space="preserve">US statutory tax rate. ETR storico non utilizzabile </text>
  </threadedComment>
</ThreadedComments>
</file>

<file path=xl/threadedComments/threadedComment2.xml><?xml version="1.0" encoding="utf-8"?>
<ThreadedComments xmlns="http://schemas.microsoft.com/office/spreadsheetml/2018/threadedcomments" xmlns:x="http://schemas.openxmlformats.org/spreadsheetml/2006/main">
  <threadedComment ref="D4" dT="2026-09-05T10:07:36.21" personId="{F89EDB22-7672-F645-92D6-BD25E4A6FC47}" id="{0257D175-85AB-2B4D-98C1-8A595156F619}">
    <text>Da FactSet</text>
  </threadedComment>
  <threadedComment ref="D7" dT="2026-08-21T07:00:09.29" personId="{F89EDB22-7672-F645-92D6-BD25E4A6FC47}" id="{160DB544-DCB5-3F41-8C1E-02B10B086C69}">
    <text>10Y USA</text>
  </threadedComment>
  <threadedComment ref="D9" dT="2026-08-21T07:00:15.80" personId="{F89EDB22-7672-F645-92D6-BD25E4A6FC47}" id="{06DB6832-7CCE-0941-9D00-7850888544DF}">
    <text xml:space="preserve">Damodaran
</text>
  </threadedComment>
  <threadedComment ref="D14" dT="2026-09-05T10:23:18.27" personId="{F89EDB22-7672-F645-92D6-BD25E4A6FC47}" id="{C5989255-66E7-1E4F-9C1F-202F11C68BA5}">
    <text>Damodaran</text>
  </threadedComment>
  <threadedComment ref="D15" dT="2026-08-21T07:23:48.59" personId="{F89EDB22-7672-F645-92D6-BD25E4A6FC47}" id="{59A489CA-2CBF-3C4F-9966-110EDB50D2EA}">
    <text>US statutory</text>
  </threadedComment>
  <threadedComment ref="H24" dT="2026-09-05T10:09:18.48" personId="{F89EDB22-7672-F645-92D6-BD25E4A6FC47}" id="{476AB9F9-5F2E-2049-9FA2-A5A1BD216D93}">
    <text>Dati da FactSet</text>
  </threadedComment>
  <threadedComment ref="C34" dT="2026-08-31T16:08:37.36" personId="{F89EDB22-7672-F645-92D6-BD25E4A6FC47}" id="{75CF7005-C6A9-7144-B98A-0139FAF85E95}">
    <text>Stima bottom-up sul mix di ricavi atteso al FY2036 usando i beta unlevered del campione settoriale USA di Damodaran, gennaio 2026, re-levered sulla struttura patrimoniale attuale</text>
  </threadedComment>
</ThreadedComments>
</file>

<file path=xl/threadedComments/threadedComment3.xml><?xml version="1.0" encoding="utf-8"?>
<ThreadedComments xmlns="http://schemas.microsoft.com/office/spreadsheetml/2018/threadedcomments" xmlns:x="http://schemas.openxmlformats.org/spreadsheetml/2006/main">
  <threadedComment ref="C7" dT="2026-09-02T07:54:16.40" personId="{F89EDB22-7672-F645-92D6-BD25E4A6FC47}" id="{88E4CDCB-0C2D-5D4F-ABF1-DF3432D89B63}">
    <text>Fade trimestrale</text>
  </threadedComment>
  <threadedComment ref="K7" dT="2026-08-22T08:16:36.45" personId="{F89EDB22-7672-F645-92D6-BD25E4A6FC47}" id="{9FF27733-8D21-D343-B6E3-D9AE3A8247B5}">
    <text>Finestra di rischio ciclico, decelerazione. Fine della fase supply-constrained</text>
  </threadedComment>
  <threadedComment ref="C8" dT="2026-09-02T07:54:35.56" personId="{F89EDB22-7672-F645-92D6-BD25E4A6FC47}" id="{8E0A18C6-AB34-494D-9E10-F11FF18F3106}">
    <text>Fade trimestrale</text>
  </threadedComment>
  <threadedComment ref="K8" dT="2026-08-22T08:17:50.63" personId="{F89EDB22-7672-F645-92D6-BD25E4A6FC47}" id="{BCCF94A8-42EB-3241-9FE4-5393F7572995}">
    <text>Finestra di rischio ciclico</text>
  </threadedComment>
  <threadedComment ref="K9" dT="2026-09-01T14:19:28.95" personId="{F89EDB22-7672-F645-92D6-BD25E4A6FC47}" id="{EAB6F989-82EC-B749-AE17-214C19E06388}">
    <text>Base case scenario da LightCounting</text>
  </threadedComment>
  <threadedComment ref="K15" dT="2026-08-22T09:08:31.53" personId="{F89EDB22-7672-F645-92D6-BD25E4A6FC47}" id="{E601283B-7B60-1C45-AC9C-83636733CFCF}">
    <text xml:space="preserve">Ripresa
</text>
  </threadedComment>
  <threadedComment ref="K16" dT="2026-08-22T09:08:39.90" personId="{F89EDB22-7672-F645-92D6-BD25E4A6FC47}" id="{815E4253-8BE3-184F-B075-854EB69DECCC}">
    <text>Ripresa</text>
  </threadedComment>
  <threadedComment ref="K17" dT="2026-09-01T14:16:46.27" personId="{F89EDB22-7672-F645-92D6-BD25E4A6FC47}" id="{ABC1C3FC-2092-B340-B21A-FE1BBC1E728C}">
    <text xml:space="preserve">Convergenza graduale al PIL nominale </text>
  </threadedComment>
  <threadedComment ref="K18" dT="2026-09-01T14:17:01.17" personId="{F89EDB22-7672-F645-92D6-BD25E4A6FC47}" id="{80DD7A4A-B31B-AE4B-AE61-EAB0DF973506}">
    <text>Convergenza al PIL nominale</text>
  </threadedComment>
  <threadedComment ref="F28" dT="2026-08-29T08:45:21.99" personId="{F89EDB22-7672-F645-92D6-BD25E4A6FC47}" id="{5C9E0848-AEF3-1C4C-B109-98FBACA05317}">
    <text>Guidance FY2027: non-GAAP Gross margin between 39,5 and 41,5 --&gt; punto medio: 40,5.
In FY2026 gap between non GAAP and GAAP Gross margin: 39,4-37,5= 1,9
--&gt; Gross margin FY2027 GAAP: 40,5-1,9= 38,6</text>
  </threadedComment>
  <threadedComment ref="P28" dT="2026-09-01T14:21:23.39" personId="{F89EDB22-7672-F645-92D6-BD25E4A6FC47}" id="{9DCBE966-9E71-CC4D-BB07-2DD85509A7E0}">
    <text>Espansione. Drivers:mix D&amp;C; InP 6" (4x output a metà costo/wafer,  da CFO)</text>
  </threadedComment>
  <threadedComment ref="F31" dT="2026-09-01T14:21:49.95" personId="{F89EDB22-7672-F645-92D6-BD25E4A6FC47}" id="{0A6435F5-C62D-FF4A-80DA-EAE4492BCF11}">
    <text>Media storica</text>
  </threadedComment>
  <threadedComment ref="L31" dT="2026-09-04T12:41:08.79" personId="{F89EDB22-7672-F645-92D6-BD25E4A6FC47}" id="{334BAEA3-E628-D04E-A47B-C1E749D6DC96}">
    <text xml:space="preserve">Storico piatto al 10%, ricavi in aumento
--&gt; assumo poca diluizione: -1% fino al FY 2033 e poi flat </text>
  </threadedComment>
  <threadedComment ref="F34" dT="2026-09-04T12:05:04.03" personId="{F89EDB22-7672-F645-92D6-BD25E4A6FC47}" id="{0C2FF988-1349-7248-9ABC-91D9574F51EE}">
    <text>Storico già in discesa</text>
  </threadedComment>
  <threadedComment ref="E36" dT="2026-08-23T08:48:28.04" personId="{F89EDB22-7672-F645-92D6-BD25E4A6FC47}" id="{A7B7772F-1C86-7648-8A16-ACF13C27EA77}">
    <text>Anomalia data da "gain on sale of business"
Senza: restructuring (63,4) + impairment (64,4) = 127,8</text>
  </threadedComment>
  <threadedComment ref="F36" dT="2026-09-05T09:25:47.94" personId="{F89EDB22-7672-F645-92D6-BD25E4A6FC47}" id="{FF4C6147-94F8-524F-BDB2-9D742A424DFE}">
    <text>Fade da 127,8 (livello ricorrente FY2026)</text>
  </threadedComment>
  <threadedComment ref="J36" dT="2026-09-04T12:08:24.11" personId="{F89EDB22-7672-F645-92D6-BD25E4A6FC47}" id="{565A4550-7D7D-524E-8A59-0EC95CBDA0F0}">
    <text>Restructuring: deriva dalla fusione II-VI 2022
--&gt; Temporaneo.</text>
  </threadedComment>
  <threadedComment ref="F45" dT="2026-09-05T09:51:46.74" personId="{F89EDB22-7672-F645-92D6-BD25E4A6FC47}" id="{740ADEA0-3F4E-0D4E-A09B-9502F0A3CD4D}">
    <text>Metodo bottom-up sulla guidance</text>
  </threadedComment>
  <threadedComment ref="H45" dT="2026-09-01T14:26:18.90" personId="{F89EDB22-7672-F645-92D6-BD25E4A6FC47}" id="{B346291D-5E31-734C-85FC-9832D102F0CA}">
    <text>Capex = Deprec + ΔRicavi/efficienza
(metodo sales-to-capital)</text>
  </threadedComment>
  <threadedComment ref="O45" dT="2026-09-01T14:26:47.38" personId="{F89EDB22-7672-F645-92D6-BD25E4A6FC47}" id="{50B6B29B-73AE-3E48-8408-7AD85CB72E32}">
    <text xml:space="preserve">Reinvestimento − ΔNWC + Deprec
</text>
  </threadedComment>
  <threadedComment ref="F46" dT="2026-08-23T15:19:00.34" personId="{F89EDB22-7672-F645-92D6-BD25E4A6FC47}" id="{314F5E07-9328-E14E-82AC-EAF489C4F871}">
    <text>Run rate Q4 FY26 = 27,2%.
Guidance: "up sequencially"</text>
  </threadedComment>
  <threadedComment ref="O48" dT="2026-08-29T09:37:13.26" personId="{F89EDB22-7672-F645-92D6-BD25E4A6FC47}" id="{079CE004-0DB4-234E-A841-63AD1DA87EA9}">
    <text>Guidance: Payback =1,5 anni
Ricavi incrementali = (1/1,5)/(gross margin) OR (1/1,5)/(EBITDA)
--&gt; Media ricavi incrementali= 2,1</text>
  </threadedComment>
  <threadedComment ref="F59" dT="2026-08-24T07:34:14.86" personId="{F89EDB22-7672-F645-92D6-BD25E4A6FC47}" id="{61F1627B-87E2-6042-84F8-A58211011B44}">
    <text>From 10K, Note "goodwill and other intangible assets"</text>
  </threadedComment>
  <threadedComment ref="G59" dT="2026-08-24T07:34:27.86" personId="{F89EDB22-7672-F645-92D6-BD25E4A6FC47}" id="{481BF65E-C450-2046-9CB6-4C52712BCBA8}">
    <text>From 10K, Note "goodwill and other intangible assets"</text>
  </threadedComment>
  <threadedComment ref="H59" dT="2026-08-24T07:34:33.68" personId="{F89EDB22-7672-F645-92D6-BD25E4A6FC47}" id="{1FE5549F-06AB-1E40-9A7D-5F58ED7FE863}">
    <text>From 10K, Note "goodwill and other intangible assets"</text>
  </threadedComment>
  <threadedComment ref="I59" dT="2026-08-24T07:34:39.08" personId="{F89EDB22-7672-F645-92D6-BD25E4A6FC47}" id="{752831E2-0212-A04A-8F48-852F04160AA9}">
    <text>From 10K, Note "goodwill and other intangible assets"</text>
  </threadedComment>
  <threadedComment ref="J59" dT="2026-08-24T07:34:50.32" personId="{F89EDB22-7672-F645-92D6-BD25E4A6FC47}" id="{4F645672-C2D9-DD4F-B60A-6987DC8088CB}">
    <text>From 10K, Note "goodwill and other intangible assets"</text>
  </threadedComment>
  <threadedComment ref="K59" dT="2026-09-02T07:45:48.65" personId="{F89EDB22-7672-F645-92D6-BD25E4A6FC47}" id="{2927FECF-3E87-F847-9A68-D2D69E7D02AE}">
    <text>Residuo oltre l'orizzonte della nota diviso per 4 anni</text>
  </threadedComment>
  <threadedComment ref="J60" dT="2026-08-24T07:42:28.31" personId="{F89EDB22-7672-F645-92D6-BD25E4A6FC47}" id="{F3D82ADF-A868-7047-A97B-51E021E12F4E}">
    <text>Intangibili netti totali  = 2884,474
- trade names = 430
==&gt; 2454,474
Da 10k, nota "goodwill and other intangible assests"</text>
  </threadedComment>
  <threadedComment ref="C68" dT="2026-08-24T08:44:19.33" personId="{F89EDB22-7672-F645-92D6-BD25E4A6FC47}" id="{234E07FA-4293-704E-AF10-084BC3A653DC}">
    <text>Account receivables FY 2024 from 10K 25 = 848,542</text>
  </threadedComment>
  <threadedComment ref="F68" dT="2026-08-26T06:36:22.89" personId="{F89EDB22-7672-F645-92D6-BD25E4A6FC47}" id="{DBF57903-0270-3042-96BA-8EC3D2303E47}">
    <text xml:space="preserve">Media storica 
</text>
  </threadedComment>
  <threadedComment ref="C69" dT="2026-08-24T08:51:07.72" personId="{F89EDB22-7672-F645-92D6-BD25E4A6FC47}" id="{85A98539-035F-3241-88B9-9F2B96CB33EB}">
    <text>Inventories FY 2024 from 10K 25 =1286,404</text>
  </threadedComment>
  <threadedComment ref="E69" dT="2026-09-03T10:50:53.48" personId="{F89EDB22-7672-F645-92D6-BD25E4A6FC47}" id="{55D8043E-3F94-0941-9497-85BE20B184F4}">
    <text>Driver jump: accumulo magazzino in vista del ramp</text>
  </threadedComment>
  <threadedComment ref="F69" dT="2026-09-02T08:00:20.39" personId="{F89EDB22-7672-F645-92D6-BD25E4A6FC47}" id="{09B62919-6740-D44F-8DCB-41CD072D6FE1}">
    <text xml:space="preserve">FY2026 riflette l'accumulo di magazzino in vista del ramp produttivo  degli anni seguenti. FY2024 e FY2025 sono pre InP 6".
--&gt; 180 è una buona via di mezzo
</text>
  </threadedComment>
  <threadedComment ref="C70" dT="2026-08-24T08:52:01.80" personId="{F89EDB22-7672-F645-92D6-BD25E4A6FC47}" id="{97668F59-29C2-C04D-B185-C2DC0F23EB36}">
    <text>Account payables FY 2024 from 10K 25 =631,548</text>
  </threadedComment>
  <threadedComment ref="E70" dT="2026-09-02T08:22:01.51" personId="{F89EDB22-7672-F645-92D6-BD25E4A6FC47}" id="{BE1E8862-7C52-7145-8A4E-F25BEF8371E9}">
    <text>Driver jump: debiti verso fornitori derivanti da CapEx,accumulo magazzino in vista del ramp</text>
  </threadedComment>
  <threadedComment ref="F70" dT="2026-09-05T09:55:43.95" personId="{F89EDB22-7672-F645-92D6-BD25E4A6FC47}" id="{E90B3A69-9A6C-1E46-AD25-D8A06F7590A8}">
    <text>Via di mezzo tra storico e picco</text>
  </threadedComment>
  <threadedComment ref="E71" dT="2026-09-02T08:25:43.83" personId="{F89EDB22-7672-F645-92D6-BD25E4A6FC47}" id="{A4152C05-3BF2-2948-89C1-4C74E058023B}">
    <text>Driver jump: anticipi ai fornitori pre ramp</text>
  </threadedComment>
  <threadedComment ref="F71" dT="2026-09-05T09:55:55.19" personId="{F89EDB22-7672-F645-92D6-BD25E4A6FC47}" id="{C41A44CD-CAF7-7743-AEAA-09D1DE6BD3FE}">
    <text>Via di mezzo tra storico e picco</text>
  </threadedComment>
  <threadedComment ref="F72" dT="2026-09-02T07:49:46.56" personId="{F89EDB22-7672-F645-92D6-BD25E4A6FC47}" id="{8057CB7B-809B-3441-AA8F-19A45ABBE783}">
    <text xml:space="preserve">Livello storico </text>
  </threadedComment>
  <threadedComment ref="F73" dT="2026-09-02T07:50:05.00" personId="{F89EDB22-7672-F645-92D6-BD25E4A6FC47}" id="{D1DA62F9-CB6D-5247-962D-6F065C8C3D7F}">
    <text>Livello storico</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9-04T12:01:55.25" personId="{F89EDB22-7672-F645-92D6-BD25E4A6FC47}" id="{F0060545-45D0-A74F-8BB0-A23F7C13CE18}">
    <text xml:space="preserve">BEAR - Il passaggio ai 1.6T ritarda. I concorrenti abbassano i prezzi sugli 800G. Il co-packaged optics arriva prima e toglie
mercato ai moduli tradizionali. 
BASE - L'AI prosegue come stima LightCounting. Il
passaggio 800G-&gt;1.6T avviene nei tempi previsti. Coherent tiene la sua posizione.
BULL - Il co-packaged optics slitta e i moduli 1.6T restano lo
standard più a lungo. Coherent produce internamente l'InP di conseguenza riesce a guadagnare quota.
</text>
  </threadedComment>
  <threadedComment ref="A9" dT="2026-09-04T11:44:27.43" personId="{F89EDB22-7672-F645-92D6-BD25E4A6FC47}" id="{A5BAAC2E-B40F-8041-A07F-5EC7C546B288}">
    <text xml:space="preserve">BEAR - I prezzi scendono più in fretta del previsto.
BASE - Crescita in linea con la guidance del management e con le stime di LightCounting.
BULL - La domanda supera la capacità del settore e i prezzi rimangono alti.
</text>
  </threadedComment>
  <threadedComment ref="A10" dT="2026-09-04T11:46:26.31" personId="{F89EDB22-7672-F645-92D6-BD25E4A6FC47}" id="{2392A2FF-9C35-A146-9DA9-A972ACEC8E5B}">
    <text xml:space="preserve">BEAR - Il passaggio ai 1.6T  slitta e i prezzi degli 800G sono sotto pressione.
BASE - Il mercato dei transceiver decelera dopo il picco, come
stima LightCounting.
BULL - I moduli tradizionali restano lo standard e Coherent guadagna quota.
</text>
  </threadedComment>
  <threadedComment ref="A11" dT="2026-09-04T11:48:50.60" personId="{F89EDB22-7672-F645-92D6-BD25E4A6FC47}" id="{1FA6DFDE-9C67-CF44-99F7-960F446088C5}">
    <text xml:space="preserve">BEAR - Il ciclo AI è maturo, la crescita rallenta.
BASE - Decelerazione graduale verso la crescita di lungo periodo.
BULL - Il ciclo AI si allunga grazie a nuovi investimenti.
</text>
  </threadedComment>
  <threadedComment ref="A12" dT="2026-09-04T11:51:45.77" personId="{F89EDB22-7672-F645-92D6-BD25E4A6FC47}" id="{D31EA64A-8906-7044-88E2-306676FF0428}">
    <text>BEAR - Prezzi più bassi e mix
peggiore.
BASE - Coincide con l'obiettivo di lungo periodo dichiarato dal
management.
BULL  - Premio sui 1.6T,  la produzione interna dell'InP
abbassa i costi.</text>
  </threadedComment>
  <threadedComment ref="A13" dT="2026-09-04T11:53:58.95" personId="{F89EDB22-7672-F645-92D6-BD25E4A6FC47}" id="{47B17152-4DDD-9642-ADEF-41B4A8136122}">
    <text>BEAR - I ricavi crescono meno, i costi fissi si diluiscono più lentamente.
BASE - Diluizione normale dei costi fissi su ricavi.
BULL - Ricavi più alti, stessa struttura di costi</text>
  </threadedComment>
  <threadedComment ref="A14" dT="2026-09-04T11:55:50.91" personId="{F89EDB22-7672-F645-92D6-BD25E4A6FC47}" id="{AF896AF4-8740-7E49-8108-70F8DD46C1F4}">
    <text xml:space="preserve">BEAR - crescita quasi zero, solo inflazione.
BASE - Crescita un po' più dell'economia.
BULL  - Crescita più veloce dell'economia
(Upper bound: risk free rate (4,68%). Lower bound: inflazione (2%).) 
</text>
  </threadedComment>
</ThreadedComments>
</file>

<file path=xl/threadedComments/threadedComment5.xml><?xml version="1.0" encoding="utf-8"?>
<ThreadedComments xmlns="http://schemas.microsoft.com/office/spreadsheetml/2018/threadedcomments" xmlns:x="http://schemas.openxmlformats.org/spreadsheetml/2006/main">
  <threadedComment ref="C43" dT="2026-08-27T07:37:12.94" personId="{F89EDB22-7672-F645-92D6-BD25E4A6FC47}" id="{1E208810-D3BE-0E47-B72C-11BDE645AE0A}">
    <text>From 10K</text>
  </threadedComment>
</ThreadedComments>
</file>

<file path=xl/threadedComments/threadedComment6.xml><?xml version="1.0" encoding="utf-8"?>
<ThreadedComments xmlns="http://schemas.microsoft.com/office/spreadsheetml/2018/threadedcomments" xmlns:x="http://schemas.openxmlformats.org/spreadsheetml/2006/main">
  <threadedComment ref="C45" dT="2026-08-31T15:22:15.87" personId="{F89EDB22-7672-F645-92D6-BD25E4A6FC47}" id="{906858EC-D305-8B4E-912F-0188B78ACF29}">
    <text>Multiplo implicito nel DCF sotto la mediana dei peer.
--&gt;DCF più conservativo del mercato</text>
  </threadedComment>
</ThreadedComments>
</file>

<file path=xl/threadedComments/threadedComment7.xml><?xml version="1.0" encoding="utf-8"?>
<ThreadedComments xmlns="http://schemas.microsoft.com/office/spreadsheetml/2018/threadedcomments" xmlns:x="http://schemas.openxmlformats.org/spreadsheetml/2006/main">
  <threadedComment ref="E6" dT="2026-09-05T09:34:57.54" personId="{F89EDB22-7672-F645-92D6-BD25E4A6FC47}" id="{8E899737-B3F6-CB4E-9AA3-0903F5964F6B}">
    <text xml:space="preserve">Consensus
</text>
  </threadedComment>
  <threadedComment ref="E7" dT="2026-09-05T09:38:03.84" personId="{F89EDB22-7672-F645-92D6-BD25E4A6FC47}" id="{2B321163-9233-0A4D-845C-5B7644D7DD7F}">
    <text>Dal modello</text>
  </threadedComment>
  <threadedComment ref="C36" dT="2026-09-05T09:38:53.12" personId="{F89EDB22-7672-F645-92D6-BD25E4A6FC47}" id="{290FD8A1-F854-8E4D-A9C7-9F8D2CC4F600}">
    <text>da EBITDA di consensus</text>
  </threadedComment>
  <threadedComment ref="D36" dT="2026-09-05T09:39:16.79" personId="{F89EDB22-7672-F645-92D6-BD25E4A6FC47}" id="{F52BA8C6-2755-0D42-807B-8CE7B26FA1E5}">
    <text>Da EBITDA del modello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57"/>
  <sheetViews>
    <sheetView showGridLines="0" zoomScale="117" zoomScaleNormal="130" workbookViewId="0">
      <selection activeCell="O14" sqref="O14"/>
    </sheetView>
  </sheetViews>
  <sheetFormatPr baseColWidth="10" defaultRowHeight="15" x14ac:dyDescent="0.2"/>
  <cols>
    <col min="1" max="1" width="24.83203125" bestFit="1" customWidth="1"/>
  </cols>
  <sheetData>
    <row r="2" spans="1:15" x14ac:dyDescent="0.2">
      <c r="A2" s="45" t="s">
        <v>162</v>
      </c>
      <c r="B2" s="22"/>
      <c r="C2" s="99">
        <f>WACC!D17</f>
        <v>0.11828878124435303</v>
      </c>
    </row>
    <row r="3" spans="1:15" x14ac:dyDescent="0.2">
      <c r="A3" s="103" t="s">
        <v>181</v>
      </c>
      <c r="B3" s="42"/>
      <c r="C3" s="118">
        <f>DCF!$B$6</f>
        <v>0.03</v>
      </c>
    </row>
    <row r="4" spans="1:15" x14ac:dyDescent="0.2">
      <c r="A4" s="46" t="s">
        <v>281</v>
      </c>
      <c r="B4" s="104"/>
      <c r="C4" s="107">
        <f>Estimates!O39*(1-O29)/(Estimates!N56+Estimates!N85+'Consolidated Balance Sheet'!C15+'Consolidated Balance Sheet'!C16-SUM(Estimates!$F$59:'Estimates'!N59))</f>
        <v>0.2302001339431804</v>
      </c>
    </row>
    <row r="7" spans="1:15" x14ac:dyDescent="0.2">
      <c r="A7" s="12" t="s">
        <v>0</v>
      </c>
      <c r="B7" s="12"/>
      <c r="C7" s="13">
        <v>2024</v>
      </c>
      <c r="D7" s="13">
        <v>2025</v>
      </c>
      <c r="E7" s="47">
        <v>2026</v>
      </c>
      <c r="F7" s="14">
        <f t="shared" ref="F7:O7" si="0">E7+1</f>
        <v>2027</v>
      </c>
      <c r="G7" s="14">
        <f t="shared" si="0"/>
        <v>2028</v>
      </c>
      <c r="H7" s="14">
        <f t="shared" si="0"/>
        <v>2029</v>
      </c>
      <c r="I7" s="14">
        <f t="shared" si="0"/>
        <v>2030</v>
      </c>
      <c r="J7" s="14">
        <f t="shared" si="0"/>
        <v>2031</v>
      </c>
      <c r="K7" s="14">
        <f t="shared" si="0"/>
        <v>2032</v>
      </c>
      <c r="L7" s="14">
        <f t="shared" si="0"/>
        <v>2033</v>
      </c>
      <c r="M7" s="14">
        <f t="shared" si="0"/>
        <v>2034</v>
      </c>
      <c r="N7" s="14">
        <f t="shared" si="0"/>
        <v>2035</v>
      </c>
      <c r="O7" s="14">
        <f t="shared" si="0"/>
        <v>2036</v>
      </c>
    </row>
    <row r="8" spans="1:15" x14ac:dyDescent="0.2">
      <c r="E8" s="48"/>
    </row>
    <row r="9" spans="1:15" x14ac:dyDescent="0.2">
      <c r="A9" s="4" t="s">
        <v>1</v>
      </c>
      <c r="C9" s="15">
        <f>'Note 20 - Segment Results'!B6</f>
        <v>2631.3690000000001</v>
      </c>
      <c r="D9" s="15">
        <f>'Note 20 - Segment Results'!C6</f>
        <v>3755.1640000000002</v>
      </c>
      <c r="E9" s="49">
        <f>'Note 20 - Segment Results'!D6</f>
        <v>5274.6289999999999</v>
      </c>
      <c r="F9" s="56">
        <f>F17-F13</f>
        <v>8761.7545599999994</v>
      </c>
      <c r="G9" s="56">
        <f>F9*(1+G10)</f>
        <v>11931.655989214483</v>
      </c>
      <c r="H9" s="56">
        <f t="shared" ref="H9:O9" si="1">G9*(1+H10)</f>
        <v>15082.251116244825</v>
      </c>
      <c r="I9" s="56">
        <f t="shared" si="1"/>
        <v>18174.112595075014</v>
      </c>
      <c r="J9" s="56">
        <f t="shared" si="1"/>
        <v>21263.711736237765</v>
      </c>
      <c r="K9" s="56">
        <f t="shared" si="1"/>
        <v>24283.158802783524</v>
      </c>
      <c r="L9" s="56">
        <f t="shared" si="1"/>
        <v>27051.438906300849</v>
      </c>
      <c r="M9" s="56">
        <f t="shared" si="1"/>
        <v>29377.862652242726</v>
      </c>
      <c r="N9" s="56">
        <f t="shared" si="1"/>
        <v>31081.778686072805</v>
      </c>
      <c r="O9" s="56">
        <f t="shared" si="1"/>
        <v>32014.23204665499</v>
      </c>
    </row>
    <row r="10" spans="1:15" x14ac:dyDescent="0.2">
      <c r="A10" s="20" t="s">
        <v>3</v>
      </c>
      <c r="B10" s="20"/>
      <c r="C10" s="20"/>
      <c r="D10" s="20">
        <f>(D9/C9)-1</f>
        <v>0.4270761721370131</v>
      </c>
      <c r="E10" s="50">
        <f>(E9/D9)-1</f>
        <v>0.40463345941748474</v>
      </c>
      <c r="F10" s="20">
        <f>(F9/E9)-1</f>
        <v>0.66111295410539772</v>
      </c>
      <c r="G10" s="20">
        <f>Estimates!K7</f>
        <v>0.36178843033175356</v>
      </c>
      <c r="H10" s="20">
        <f>Estimates!K8</f>
        <v>0.26405346666701535</v>
      </c>
      <c r="I10" s="20">
        <f>Estimates!K9</f>
        <v>0.20499999999999999</v>
      </c>
      <c r="J10" s="20">
        <f>Estimates!K10</f>
        <v>0.17</v>
      </c>
      <c r="K10" s="20">
        <f>$J$10-($J$10-$C$3)*(K$7-$J$7)/5</f>
        <v>0.14200000000000002</v>
      </c>
      <c r="L10" s="20">
        <f>$J$10-($J$10-$C$3)*(L$7-$J$7)/5</f>
        <v>0.114</v>
      </c>
      <c r="M10" s="20">
        <f>$J$10-($J$10-$C$3)*(M$7-$J$7)/5</f>
        <v>8.6000000000000007E-2</v>
      </c>
      <c r="N10" s="20">
        <f>$J$10-($J$10-$C$3)*(N$7-$J$7)/5</f>
        <v>5.7999999999999996E-2</v>
      </c>
      <c r="O10" s="20">
        <f>$J$10-($J$10-$C$3)*(O$7-$J$7)/5</f>
        <v>0.03</v>
      </c>
    </row>
    <row r="11" spans="1:15" x14ac:dyDescent="0.2">
      <c r="A11" s="20" t="s">
        <v>2</v>
      </c>
      <c r="B11" s="20"/>
      <c r="C11" s="20">
        <f t="shared" ref="C11:O11" si="2">C9/C$17</f>
        <v>0.55895144283138565</v>
      </c>
      <c r="D11" s="20">
        <f t="shared" si="2"/>
        <v>0.64631491803518526</v>
      </c>
      <c r="E11" s="50">
        <f t="shared" si="2"/>
        <v>0.74100799066503087</v>
      </c>
      <c r="F11" s="59">
        <f t="shared" si="2"/>
        <v>0.83049806255924163</v>
      </c>
      <c r="G11" s="20">
        <f t="shared" si="2"/>
        <v>0.86291218081618648</v>
      </c>
      <c r="H11" s="20">
        <f t="shared" si="2"/>
        <v>0.8824404065712087</v>
      </c>
      <c r="I11" s="20">
        <f t="shared" si="2"/>
        <v>0.89598935458569073</v>
      </c>
      <c r="J11" s="20">
        <f t="shared" si="2"/>
        <v>0.90605769277026715</v>
      </c>
      <c r="K11" s="20">
        <f t="shared" si="2"/>
        <v>0.9135728540427035</v>
      </c>
      <c r="L11" s="20">
        <f t="shared" si="2"/>
        <v>0.91891977596372665</v>
      </c>
      <c r="M11" s="20">
        <f t="shared" si="2"/>
        <v>0.92236293403621328</v>
      </c>
      <c r="N11" s="20">
        <f t="shared" si="2"/>
        <v>0.92405814109799977</v>
      </c>
      <c r="O11" s="20">
        <f t="shared" si="2"/>
        <v>0.92405814109799966</v>
      </c>
    </row>
    <row r="12" spans="1:15" x14ac:dyDescent="0.2">
      <c r="E12" s="48"/>
    </row>
    <row r="13" spans="1:15" x14ac:dyDescent="0.2">
      <c r="A13" s="4" t="s">
        <v>4</v>
      </c>
      <c r="C13" s="15">
        <f>'Note 20 - Segment Results'!B7</f>
        <v>2076.319</v>
      </c>
      <c r="D13" s="15">
        <f>'Note 20 - Segment Results'!C7</f>
        <v>2054.951</v>
      </c>
      <c r="E13" s="49">
        <f>'Note 20 - Segment Results'!D7</f>
        <v>1843.5519999999999</v>
      </c>
      <c r="F13" s="56">
        <f>E13*(1+F14)</f>
        <v>1788.2454399999999</v>
      </c>
      <c r="G13" s="56">
        <f>F13*(1+G14)</f>
        <v>1895.5401664000001</v>
      </c>
      <c r="H13" s="56">
        <f t="shared" ref="H13:O13" si="3">G13*(1+H14)</f>
        <v>2009.2725763840001</v>
      </c>
      <c r="I13" s="56">
        <f t="shared" si="3"/>
        <v>2109.7362052032004</v>
      </c>
      <c r="J13" s="56">
        <f t="shared" si="3"/>
        <v>2204.6743344373444</v>
      </c>
      <c r="K13" s="56">
        <f t="shared" si="3"/>
        <v>2297.2706564837131</v>
      </c>
      <c r="L13" s="56">
        <f t="shared" si="3"/>
        <v>2386.8642120865779</v>
      </c>
      <c r="M13" s="56">
        <f t="shared" si="3"/>
        <v>2472.7913237216949</v>
      </c>
      <c r="N13" s="56">
        <f t="shared" si="3"/>
        <v>2554.3934374045107</v>
      </c>
      <c r="O13" s="56">
        <f t="shared" si="3"/>
        <v>2631.025240526646</v>
      </c>
    </row>
    <row r="14" spans="1:15" x14ac:dyDescent="0.2">
      <c r="A14" s="16" t="s">
        <v>3</v>
      </c>
      <c r="B14" s="16"/>
      <c r="C14" s="16"/>
      <c r="D14" s="20">
        <f>(D13/C13)-1</f>
        <v>-1.0291289536916048E-2</v>
      </c>
      <c r="E14" s="50">
        <f>(E13/D13)-1</f>
        <v>-0.10287301254385151</v>
      </c>
      <c r="F14" s="58">
        <v>-0.03</v>
      </c>
      <c r="G14" s="20">
        <f>Estimates!K15</f>
        <v>0.06</v>
      </c>
      <c r="H14" s="20">
        <f>Estimates!K16</f>
        <v>0.06</v>
      </c>
      <c r="I14" s="20">
        <f>Estimates!K17</f>
        <v>0.05</v>
      </c>
      <c r="J14" s="20">
        <f>Estimates!K18</f>
        <v>4.4999999999999998E-2</v>
      </c>
      <c r="K14" s="20">
        <f>$J$14-($J$14-$C$3)*(K$7-$J$7)/5</f>
        <v>4.1999999999999996E-2</v>
      </c>
      <c r="L14" s="20">
        <f>$J$14-($J$14-$C$3)*(L$7-$J$7)/5</f>
        <v>3.9E-2</v>
      </c>
      <c r="M14" s="20">
        <f>$J$14-($J$14-$C$3)*(M$7-$J$7)/5</f>
        <v>3.5999999999999997E-2</v>
      </c>
      <c r="N14" s="20">
        <f>$J$14-($J$14-$C$3)*(N$7-$J$7)/5</f>
        <v>3.3000000000000002E-2</v>
      </c>
      <c r="O14" s="20">
        <f>$J$14-($J$14-$C$3)*(O$7-$J$7)/5</f>
        <v>0.03</v>
      </c>
    </row>
    <row r="15" spans="1:15" x14ac:dyDescent="0.2">
      <c r="A15" s="16" t="s">
        <v>2</v>
      </c>
      <c r="B15" s="16"/>
      <c r="C15" s="20">
        <f t="shared" ref="C15:O15" si="4">C13/C$17</f>
        <v>0.44104855716861441</v>
      </c>
      <c r="D15" s="20">
        <f t="shared" si="4"/>
        <v>0.35368508196481485</v>
      </c>
      <c r="E15" s="50">
        <f t="shared" si="4"/>
        <v>0.25899200933496913</v>
      </c>
      <c r="F15" s="59">
        <f t="shared" si="4"/>
        <v>0.16950193744075828</v>
      </c>
      <c r="G15" s="20">
        <f t="shared" si="4"/>
        <v>0.13708781918381355</v>
      </c>
      <c r="H15" s="20">
        <f t="shared" si="4"/>
        <v>0.11755959342879141</v>
      </c>
      <c r="I15" s="20">
        <f t="shared" si="4"/>
        <v>0.10401064541430929</v>
      </c>
      <c r="J15" s="20">
        <f t="shared" si="4"/>
        <v>9.3942307229732874E-2</v>
      </c>
      <c r="K15" s="20">
        <f t="shared" si="4"/>
        <v>8.6427145957296489E-2</v>
      </c>
      <c r="L15" s="20">
        <f t="shared" si="4"/>
        <v>8.1080224036273379E-2</v>
      </c>
      <c r="M15" s="20">
        <f t="shared" si="4"/>
        <v>7.7637065963786694E-2</v>
      </c>
      <c r="N15" s="20">
        <f t="shared" si="4"/>
        <v>7.5941858902000323E-2</v>
      </c>
      <c r="O15" s="20">
        <f t="shared" si="4"/>
        <v>7.5941858902000309E-2</v>
      </c>
    </row>
    <row r="16" spans="1:15" x14ac:dyDescent="0.2">
      <c r="E16" s="48"/>
    </row>
    <row r="17" spans="1:15" x14ac:dyDescent="0.2">
      <c r="A17" s="21" t="s">
        <v>156</v>
      </c>
      <c r="B17" s="22"/>
      <c r="C17" s="23">
        <f>C9+C13</f>
        <v>4707.6880000000001</v>
      </c>
      <c r="D17" s="23">
        <f>D9+D13</f>
        <v>5810.1149999999998</v>
      </c>
      <c r="E17" s="51">
        <f>E9+E13</f>
        <v>7118.1809999999996</v>
      </c>
      <c r="F17" s="55">
        <v>10550</v>
      </c>
      <c r="G17" s="23">
        <f>G9+G13</f>
        <v>13827.196155614483</v>
      </c>
      <c r="H17" s="23">
        <f t="shared" ref="H17:O17" si="5">H9+H13</f>
        <v>17091.523692628823</v>
      </c>
      <c r="I17" s="23">
        <f t="shared" si="5"/>
        <v>20283.848800278214</v>
      </c>
      <c r="J17" s="23">
        <f t="shared" si="5"/>
        <v>23468.386070675107</v>
      </c>
      <c r="K17" s="23">
        <f t="shared" si="5"/>
        <v>26580.429459267238</v>
      </c>
      <c r="L17" s="23">
        <f t="shared" si="5"/>
        <v>29438.303118387426</v>
      </c>
      <c r="M17" s="23">
        <f t="shared" si="5"/>
        <v>31850.653975964422</v>
      </c>
      <c r="N17" s="23">
        <f t="shared" si="5"/>
        <v>33636.172123477314</v>
      </c>
      <c r="O17" s="60">
        <f t="shared" si="5"/>
        <v>34645.257287181637</v>
      </c>
    </row>
    <row r="18" spans="1:15" x14ac:dyDescent="0.2">
      <c r="A18" s="24" t="s">
        <v>3</v>
      </c>
      <c r="B18" s="25"/>
      <c r="C18" s="25"/>
      <c r="D18" s="26">
        <f>(D17/C17)-1</f>
        <v>0.23417588421322733</v>
      </c>
      <c r="E18" s="26">
        <f>(E17/D17)-1</f>
        <v>0.2251359912841655</v>
      </c>
      <c r="F18" s="57">
        <f>(F17/E17)-1</f>
        <v>0.48212022144421462</v>
      </c>
      <c r="G18" s="26">
        <f>(G17/F17)-1</f>
        <v>0.31063470669331594</v>
      </c>
      <c r="H18" s="26">
        <f t="shared" ref="H18:O18" si="6">(H17/G17)-1</f>
        <v>0.2360802219247371</v>
      </c>
      <c r="I18" s="26">
        <f t="shared" si="6"/>
        <v>0.1867782630185375</v>
      </c>
      <c r="J18" s="26">
        <f t="shared" si="6"/>
        <v>0.15699866932321127</v>
      </c>
      <c r="K18" s="26">
        <f t="shared" si="6"/>
        <v>0.13260576927702661</v>
      </c>
      <c r="L18" s="26">
        <f t="shared" si="6"/>
        <v>0.10751796405320291</v>
      </c>
      <c r="M18" s="26">
        <f t="shared" si="6"/>
        <v>8.1945988798186598E-2</v>
      </c>
      <c r="N18" s="26">
        <f t="shared" si="6"/>
        <v>5.6059073350905209E-2</v>
      </c>
      <c r="O18" s="61">
        <f t="shared" si="6"/>
        <v>3.0000000000000027E-2</v>
      </c>
    </row>
    <row r="19" spans="1:15" x14ac:dyDescent="0.2">
      <c r="E19" s="48"/>
    </row>
    <row r="20" spans="1:15" x14ac:dyDescent="0.2">
      <c r="A20" s="12" t="s">
        <v>151</v>
      </c>
      <c r="B20" s="12"/>
      <c r="C20" s="13">
        <v>2024</v>
      </c>
      <c r="D20" s="13">
        <v>2025</v>
      </c>
      <c r="E20" s="47">
        <v>2026</v>
      </c>
      <c r="F20" s="14">
        <f t="shared" ref="F20:O20" si="7">E20+1</f>
        <v>2027</v>
      </c>
      <c r="G20" s="14">
        <f t="shared" si="7"/>
        <v>2028</v>
      </c>
      <c r="H20" s="14">
        <f t="shared" si="7"/>
        <v>2029</v>
      </c>
      <c r="I20" s="14">
        <f t="shared" si="7"/>
        <v>2030</v>
      </c>
      <c r="J20" s="14">
        <f t="shared" si="7"/>
        <v>2031</v>
      </c>
      <c r="K20" s="14">
        <f t="shared" si="7"/>
        <v>2032</v>
      </c>
      <c r="L20" s="14">
        <f t="shared" si="7"/>
        <v>2033</v>
      </c>
      <c r="M20" s="14">
        <f t="shared" si="7"/>
        <v>2034</v>
      </c>
      <c r="N20" s="14">
        <f t="shared" si="7"/>
        <v>2035</v>
      </c>
      <c r="O20" s="14">
        <f t="shared" si="7"/>
        <v>2036</v>
      </c>
    </row>
    <row r="21" spans="1:15" x14ac:dyDescent="0.2">
      <c r="E21" s="48"/>
    </row>
    <row r="22" spans="1:15" x14ac:dyDescent="0.2">
      <c r="A22" s="21" t="s">
        <v>151</v>
      </c>
      <c r="B22" s="22"/>
      <c r="C22" s="87">
        <f>'Consolidated Income Stmt'!B4-'Consolidated Income Stmt'!B6-'Consolidated Income Stmt'!B7-'Consolidated Income Stmt'!B8-'Consolidated Income Stmt'!B9-'Consolidated Income Stmt'!B10-'Consolidated Income Stmt'!B11</f>
        <v>96.120999999999952</v>
      </c>
      <c r="D22" s="87">
        <f>'Consolidated Income Stmt'!C4-'Consolidated Income Stmt'!C6-'Consolidated Income Stmt'!C7-'Consolidated Income Stmt'!C8-'Consolidated Income Stmt'!C9-'Consolidated Income Stmt'!C10-'Consolidated Income Stmt'!C11</f>
        <v>289.87799999999964</v>
      </c>
      <c r="E22" s="88">
        <f>'Consolidated Income Stmt'!D4-'Consolidated Income Stmt'!D6-'Consolidated Income Stmt'!D7-'Consolidated Income Stmt'!D8-'Consolidated Income Stmt'!D9-'Consolidated Income Stmt'!D10-'Consolidated Income Stmt'!D11</f>
        <v>897.86099999999999</v>
      </c>
      <c r="F22" s="66">
        <f>Estimates!F39</f>
        <v>1671.3000000000002</v>
      </c>
      <c r="G22" s="66">
        <f>Estimates!G39</f>
        <v>2465.7678310922461</v>
      </c>
      <c r="H22" s="66">
        <f>Estimates!H39</f>
        <v>3366.9103893973461</v>
      </c>
      <c r="I22" s="66">
        <f>Estimates!I39</f>
        <v>4361.3113408600948</v>
      </c>
      <c r="J22" s="66">
        <f>Estimates!J39</f>
        <v>5460.311159110408</v>
      </c>
      <c r="K22" s="66">
        <f>Estimates!K39</f>
        <v>6627.3870785106328</v>
      </c>
      <c r="L22" s="66">
        <f>Estimates!L39</f>
        <v>7830.5886294910561</v>
      </c>
      <c r="M22" s="66">
        <f>Estimates!M39</f>
        <v>8472.2739576065378</v>
      </c>
      <c r="N22" s="66">
        <f>Estimates!N39</f>
        <v>8947.2217848449654</v>
      </c>
      <c r="O22" s="67">
        <f>Estimates!O39</f>
        <v>9215.6384383903151</v>
      </c>
    </row>
    <row r="23" spans="1:15" x14ac:dyDescent="0.2">
      <c r="A23" s="28" t="s">
        <v>3</v>
      </c>
      <c r="B23" s="30"/>
      <c r="C23" s="30"/>
      <c r="D23" s="32">
        <f>(D22/C22)-1</f>
        <v>2.0157613840888025</v>
      </c>
      <c r="E23" s="30">
        <f>(E22/D22)-1</f>
        <v>2.0973754476020985</v>
      </c>
      <c r="F23" s="68">
        <f t="shared" ref="F23:O23" si="8">(F22/E22)-1</f>
        <v>0.86142398433610579</v>
      </c>
      <c r="G23" s="30">
        <f>(G22/F22)-1</f>
        <v>0.47535920007912758</v>
      </c>
      <c r="H23" s="30">
        <f t="shared" si="8"/>
        <v>0.36546123562084376</v>
      </c>
      <c r="I23" s="30">
        <f t="shared" si="8"/>
        <v>0.2953452383509203</v>
      </c>
      <c r="J23" s="30">
        <f t="shared" si="8"/>
        <v>0.25198838889442343</v>
      </c>
      <c r="K23" s="30">
        <f t="shared" si="8"/>
        <v>0.21373798770661345</v>
      </c>
      <c r="L23" s="30">
        <f t="shared" si="8"/>
        <v>0.18154991352199956</v>
      </c>
      <c r="M23" s="30">
        <f t="shared" si="8"/>
        <v>8.1945988798186598E-2</v>
      </c>
      <c r="N23" s="30">
        <f t="shared" si="8"/>
        <v>5.6059073350904987E-2</v>
      </c>
      <c r="O23" s="31">
        <f t="shared" si="8"/>
        <v>3.0000000000000027E-2</v>
      </c>
    </row>
    <row r="24" spans="1:15" x14ac:dyDescent="0.2">
      <c r="A24" s="24" t="s">
        <v>2</v>
      </c>
      <c r="B24" s="25"/>
      <c r="C24" s="26">
        <f t="shared" ref="C24:O24" si="9">C22/C$17</f>
        <v>2.0417878160149939E-2</v>
      </c>
      <c r="D24" s="26">
        <f t="shared" si="9"/>
        <v>4.989195566697039E-2</v>
      </c>
      <c r="E24" s="52">
        <f t="shared" si="9"/>
        <v>0.12613629802332929</v>
      </c>
      <c r="F24" s="26">
        <f t="shared" si="9"/>
        <v>0.15841706161137442</v>
      </c>
      <c r="G24" s="26">
        <f t="shared" si="9"/>
        <v>0.1783273921438534</v>
      </c>
      <c r="H24" s="26">
        <f t="shared" si="9"/>
        <v>0.19699299196182352</v>
      </c>
      <c r="I24" s="26">
        <f t="shared" si="9"/>
        <v>0.21501399383337322</v>
      </c>
      <c r="J24" s="26">
        <f t="shared" si="9"/>
        <v>0.23266666666666666</v>
      </c>
      <c r="K24" s="26">
        <f t="shared" si="9"/>
        <v>0.24933333333333338</v>
      </c>
      <c r="L24" s="26">
        <f t="shared" si="9"/>
        <v>0.26600000000000001</v>
      </c>
      <c r="M24" s="26">
        <f t="shared" si="9"/>
        <v>0.26600000000000007</v>
      </c>
      <c r="N24" s="26">
        <f t="shared" si="9"/>
        <v>0.26600000000000001</v>
      </c>
      <c r="O24" s="61">
        <f t="shared" si="9"/>
        <v>0.26599999999999996</v>
      </c>
    </row>
    <row r="25" spans="1:15" x14ac:dyDescent="0.2">
      <c r="E25" s="48"/>
    </row>
    <row r="26" spans="1:15" x14ac:dyDescent="0.2">
      <c r="A26" s="12" t="s">
        <v>153</v>
      </c>
      <c r="B26" s="12"/>
      <c r="C26" s="13">
        <v>2024</v>
      </c>
      <c r="D26" s="13">
        <v>2025</v>
      </c>
      <c r="E26" s="47">
        <v>2026</v>
      </c>
      <c r="F26" s="14">
        <f t="shared" ref="F26:O26" si="10">E26+1</f>
        <v>2027</v>
      </c>
      <c r="G26" s="14">
        <f t="shared" si="10"/>
        <v>2028</v>
      </c>
      <c r="H26" s="14">
        <f t="shared" si="10"/>
        <v>2029</v>
      </c>
      <c r="I26" s="14">
        <f t="shared" si="10"/>
        <v>2030</v>
      </c>
      <c r="J26" s="14">
        <f t="shared" si="10"/>
        <v>2031</v>
      </c>
      <c r="K26" s="14">
        <f t="shared" si="10"/>
        <v>2032</v>
      </c>
      <c r="L26" s="14">
        <f t="shared" si="10"/>
        <v>2033</v>
      </c>
      <c r="M26" s="14">
        <f t="shared" si="10"/>
        <v>2034</v>
      </c>
      <c r="N26" s="14">
        <f t="shared" si="10"/>
        <v>2035</v>
      </c>
      <c r="O26" s="14">
        <f t="shared" si="10"/>
        <v>2036</v>
      </c>
    </row>
    <row r="27" spans="1:15" x14ac:dyDescent="0.2">
      <c r="E27" s="48"/>
    </row>
    <row r="28" spans="1:15" x14ac:dyDescent="0.2">
      <c r="A28" s="21" t="s">
        <v>152</v>
      </c>
      <c r="B28" s="22"/>
      <c r="C28" s="34">
        <v>11.117000000000001</v>
      </c>
      <c r="D28" s="33">
        <v>64.123999999999995</v>
      </c>
      <c r="E28" s="33">
        <v>60.848999999999997</v>
      </c>
      <c r="F28" s="71">
        <f>F22*F29</f>
        <v>350.97300000000001</v>
      </c>
      <c r="G28" s="66">
        <f t="shared" ref="G28:O28" si="11">G22*G29</f>
        <v>517.81124452937161</v>
      </c>
      <c r="H28" s="66">
        <f t="shared" si="11"/>
        <v>707.05118177344264</v>
      </c>
      <c r="I28" s="66">
        <f t="shared" si="11"/>
        <v>915.87538158061989</v>
      </c>
      <c r="J28" s="66">
        <f t="shared" si="11"/>
        <v>1146.6653434131856</v>
      </c>
      <c r="K28" s="66">
        <f t="shared" si="11"/>
        <v>1391.7512864872328</v>
      </c>
      <c r="L28" s="66">
        <f t="shared" si="11"/>
        <v>1644.4236121931217</v>
      </c>
      <c r="M28" s="66">
        <f t="shared" si="11"/>
        <v>1779.1775310973728</v>
      </c>
      <c r="N28" s="66">
        <f t="shared" si="11"/>
        <v>1878.9165748174428</v>
      </c>
      <c r="O28" s="67">
        <f t="shared" si="11"/>
        <v>1935.2840720619661</v>
      </c>
    </row>
    <row r="29" spans="1:15" x14ac:dyDescent="0.2">
      <c r="A29" s="24" t="s">
        <v>154</v>
      </c>
      <c r="B29" s="25"/>
      <c r="C29" s="27">
        <f>'Consolidated Income Stmt'!B16/'Consolidated Income Stmt'!B15</f>
        <v>-7.5294452308546742E-2</v>
      </c>
      <c r="D29" s="26">
        <f>'Consolidated Income Stmt'!C16/'Consolidated Income Stmt'!C15</f>
        <v>0.68085919665325279</v>
      </c>
      <c r="E29" s="52">
        <f>'Consolidated Income Stmt'!D16/'Consolidated Income Stmt'!D15</f>
        <v>7.1778496295413774E-2</v>
      </c>
      <c r="F29" s="70">
        <v>0.21</v>
      </c>
      <c r="G29" s="70">
        <v>0.21</v>
      </c>
      <c r="H29" s="70">
        <v>0.21</v>
      </c>
      <c r="I29" s="70">
        <v>0.21</v>
      </c>
      <c r="J29" s="70">
        <v>0.21</v>
      </c>
      <c r="K29" s="70">
        <v>0.21</v>
      </c>
      <c r="L29" s="70">
        <v>0.21</v>
      </c>
      <c r="M29" s="70">
        <v>0.21</v>
      </c>
      <c r="N29" s="70">
        <v>0.21</v>
      </c>
      <c r="O29" s="72">
        <v>0.21</v>
      </c>
    </row>
    <row r="30" spans="1:15" x14ac:dyDescent="0.2">
      <c r="E30" s="48"/>
    </row>
    <row r="31" spans="1:15" x14ac:dyDescent="0.2">
      <c r="A31" s="12" t="s">
        <v>155</v>
      </c>
      <c r="B31" s="12"/>
      <c r="C31" s="13">
        <v>2024</v>
      </c>
      <c r="D31" s="13">
        <v>2025</v>
      </c>
      <c r="E31" s="47">
        <v>2026</v>
      </c>
      <c r="F31" s="14">
        <f t="shared" ref="F31:O31" si="12">E31+1</f>
        <v>2027</v>
      </c>
      <c r="G31" s="14">
        <f t="shared" si="12"/>
        <v>2028</v>
      </c>
      <c r="H31" s="14">
        <f t="shared" si="12"/>
        <v>2029</v>
      </c>
      <c r="I31" s="14">
        <f t="shared" si="12"/>
        <v>2030</v>
      </c>
      <c r="J31" s="14">
        <f t="shared" si="12"/>
        <v>2031</v>
      </c>
      <c r="K31" s="14">
        <f t="shared" si="12"/>
        <v>2032</v>
      </c>
      <c r="L31" s="14">
        <f t="shared" si="12"/>
        <v>2033</v>
      </c>
      <c r="M31" s="14">
        <f t="shared" si="12"/>
        <v>2034</v>
      </c>
      <c r="N31" s="14">
        <f t="shared" si="12"/>
        <v>2035</v>
      </c>
      <c r="O31" s="14">
        <f t="shared" si="12"/>
        <v>2036</v>
      </c>
    </row>
    <row r="32" spans="1:15" x14ac:dyDescent="0.2">
      <c r="E32" s="48"/>
    </row>
    <row r="33" spans="1:15" x14ac:dyDescent="0.2">
      <c r="A33" s="4" t="s">
        <v>1</v>
      </c>
      <c r="C33" s="15">
        <f>'Note 20 - D&amp;A by Segment'!B5</f>
        <v>213.69300000000001</v>
      </c>
      <c r="D33" s="15">
        <f>'Note 20 - D&amp;A by Segment'!C5</f>
        <v>209.29300000000001</v>
      </c>
      <c r="E33" s="49">
        <f>'Note 20 - D&amp;A by Segment'!D5</f>
        <v>212.56</v>
      </c>
    </row>
    <row r="34" spans="1:15" x14ac:dyDescent="0.2">
      <c r="A34" s="20" t="s">
        <v>3</v>
      </c>
      <c r="B34" s="20"/>
      <c r="C34" s="20"/>
      <c r="D34" s="20">
        <f>(D33/C33)-1</f>
        <v>-2.0590286064588015E-2</v>
      </c>
      <c r="E34" s="50">
        <f>(E33/D33)-1</f>
        <v>1.5609695498654874E-2</v>
      </c>
      <c r="F34" s="20"/>
      <c r="G34" s="20"/>
      <c r="H34" s="20"/>
      <c r="I34" s="20"/>
      <c r="J34" s="20"/>
      <c r="K34" s="20"/>
      <c r="L34" s="20"/>
      <c r="M34" s="20"/>
      <c r="N34" s="20"/>
      <c r="O34" s="20"/>
    </row>
    <row r="35" spans="1:15" x14ac:dyDescent="0.2">
      <c r="A35" s="20" t="s">
        <v>158</v>
      </c>
      <c r="B35" s="20"/>
      <c r="C35" s="20">
        <f>C33/C$41</f>
        <v>0.38552284527705516</v>
      </c>
      <c r="D35" s="20">
        <f>D33/D$41</f>
        <v>0.38145515519346779</v>
      </c>
      <c r="E35" s="50">
        <f>E33/E$41</f>
        <v>0.41072808780336995</v>
      </c>
      <c r="F35" s="20"/>
      <c r="G35" s="20"/>
      <c r="H35" s="20"/>
      <c r="I35" s="20"/>
      <c r="J35" s="20"/>
      <c r="K35" s="20"/>
      <c r="L35" s="20"/>
      <c r="M35" s="20"/>
      <c r="N35" s="20"/>
      <c r="O35" s="20"/>
    </row>
    <row r="36" spans="1:15" x14ac:dyDescent="0.2">
      <c r="E36" s="48"/>
    </row>
    <row r="37" spans="1:15" x14ac:dyDescent="0.2">
      <c r="A37" s="4" t="s">
        <v>4</v>
      </c>
      <c r="C37" s="15">
        <f>'Note 20 - D&amp;A by Segment'!B6</f>
        <v>340.601</v>
      </c>
      <c r="D37" s="15">
        <f>'Note 20 - D&amp;A by Segment'!C6</f>
        <v>339.37700000000001</v>
      </c>
      <c r="E37" s="49">
        <f>'Note 20 - D&amp;A by Segment'!D6</f>
        <v>304.95999999999998</v>
      </c>
      <c r="G37" s="20"/>
    </row>
    <row r="38" spans="1:15" x14ac:dyDescent="0.2">
      <c r="A38" s="16" t="s">
        <v>3</v>
      </c>
      <c r="B38" s="16"/>
      <c r="C38" s="16"/>
      <c r="D38" s="20">
        <f>(D37/C37)-1</f>
        <v>-3.5936476992139976E-3</v>
      </c>
      <c r="E38" s="50">
        <f>(E37/D37)-1</f>
        <v>-0.1014122937028733</v>
      </c>
    </row>
    <row r="39" spans="1:15" x14ac:dyDescent="0.2">
      <c r="A39" s="16" t="s">
        <v>158</v>
      </c>
      <c r="B39" s="16"/>
      <c r="C39" s="20">
        <f>C37/C$41</f>
        <v>0.61447715472294484</v>
      </c>
      <c r="D39" s="20">
        <f>D37/D$41</f>
        <v>0.61854484480653205</v>
      </c>
      <c r="E39" s="50">
        <f>E37/E$41</f>
        <v>0.58927191219663011</v>
      </c>
    </row>
    <row r="40" spans="1:15" x14ac:dyDescent="0.2">
      <c r="E40" s="48"/>
    </row>
    <row r="41" spans="1:15" x14ac:dyDescent="0.2">
      <c r="A41" s="21" t="s">
        <v>157</v>
      </c>
      <c r="B41" s="22"/>
      <c r="C41" s="23">
        <f>C33+C37</f>
        <v>554.29399999999998</v>
      </c>
      <c r="D41" s="23">
        <f>D33+D37</f>
        <v>548.67000000000007</v>
      </c>
      <c r="E41" s="23">
        <f>E33+E37</f>
        <v>517.52</v>
      </c>
      <c r="F41" s="71">
        <f>Estimates!F63</f>
        <v>663.16998702747844</v>
      </c>
      <c r="G41" s="66">
        <f>Estimates!G63</f>
        <v>918.18536922187513</v>
      </c>
      <c r="H41" s="66">
        <f>Estimates!H63</f>
        <v>1254.8459306845298</v>
      </c>
      <c r="I41" s="66">
        <f>Estimates!I63</f>
        <v>1449.7771838044337</v>
      </c>
      <c r="J41" s="66">
        <f>Estimates!J63</f>
        <v>1633.8240707477489</v>
      </c>
      <c r="K41" s="66">
        <f>Estimates!K63</f>
        <v>1825.5778209868245</v>
      </c>
      <c r="L41" s="66">
        <f>Estimates!L63</f>
        <v>2016.2430952781622</v>
      </c>
      <c r="M41" s="66">
        <f>Estimates!M63</f>
        <v>2191.3361762755476</v>
      </c>
      <c r="N41" s="66">
        <f>Estimates!N63</f>
        <v>2339.1334530207605</v>
      </c>
      <c r="O41" s="67">
        <f>Estimates!O63</f>
        <v>2448.5266281273966</v>
      </c>
    </row>
    <row r="42" spans="1:15" x14ac:dyDescent="0.2">
      <c r="A42" s="28" t="s">
        <v>3</v>
      </c>
      <c r="B42" s="29"/>
      <c r="C42" s="29"/>
      <c r="D42" s="30">
        <f>(D41/C41)-1</f>
        <v>-1.0146240081977953E-2</v>
      </c>
      <c r="E42" s="30">
        <f>(E41/D41)-1</f>
        <v>-5.677365265095613E-2</v>
      </c>
      <c r="F42" s="68">
        <f t="shared" ref="F42:O42" si="13">(F41/E41)-1</f>
        <v>0.28143837344929379</v>
      </c>
      <c r="G42" s="30">
        <f t="shared" si="13"/>
        <v>0.38453999303775821</v>
      </c>
      <c r="H42" s="30">
        <f t="shared" si="13"/>
        <v>0.3666585993936724</v>
      </c>
      <c r="I42" s="30">
        <f t="shared" si="13"/>
        <v>0.15534277822741727</v>
      </c>
      <c r="J42" s="30">
        <f t="shared" si="13"/>
        <v>0.12694839524260448</v>
      </c>
      <c r="K42" s="30">
        <f t="shared" si="13"/>
        <v>0.11736499276284751</v>
      </c>
      <c r="L42" s="30">
        <f t="shared" si="13"/>
        <v>0.10444105537405846</v>
      </c>
      <c r="M42" s="30">
        <f t="shared" si="13"/>
        <v>8.6841255108293103E-2</v>
      </c>
      <c r="N42" s="30">
        <f t="shared" si="13"/>
        <v>6.7446190294915498E-2</v>
      </c>
      <c r="O42" s="31">
        <f t="shared" si="13"/>
        <v>4.6766538679255509E-2</v>
      </c>
    </row>
    <row r="43" spans="1:15" x14ac:dyDescent="0.2">
      <c r="A43" s="24" t="s">
        <v>2</v>
      </c>
      <c r="B43" s="25"/>
      <c r="C43" s="26">
        <f t="shared" ref="C43:O43" si="14">C41/C$17</f>
        <v>0.11774229728053345</v>
      </c>
      <c r="D43" s="26">
        <f t="shared" si="14"/>
        <v>9.4433586942771375E-2</v>
      </c>
      <c r="E43" s="26">
        <f t="shared" si="14"/>
        <v>7.270396748832321E-2</v>
      </c>
      <c r="F43" s="57">
        <f t="shared" si="14"/>
        <v>6.2859714410187534E-2</v>
      </c>
      <c r="G43" s="26">
        <f t="shared" si="14"/>
        <v>6.6404306331406843E-2</v>
      </c>
      <c r="H43" s="26">
        <f t="shared" si="14"/>
        <v>7.3419196161294595E-2</v>
      </c>
      <c r="I43" s="26">
        <f t="shared" si="14"/>
        <v>7.1474462173300585E-2</v>
      </c>
      <c r="J43" s="26">
        <f t="shared" si="14"/>
        <v>6.9618083912011811E-2</v>
      </c>
      <c r="K43" s="26">
        <f t="shared" si="14"/>
        <v>6.8681276342220224E-2</v>
      </c>
      <c r="L43" s="26">
        <f t="shared" si="14"/>
        <v>6.8490465879427628E-2</v>
      </c>
      <c r="M43" s="26">
        <f t="shared" si="14"/>
        <v>6.8800351098888074E-2</v>
      </c>
      <c r="N43" s="26">
        <f t="shared" si="14"/>
        <v>6.9542201307386475E-2</v>
      </c>
      <c r="O43" s="61">
        <f t="shared" si="14"/>
        <v>7.0674222674435863E-2</v>
      </c>
    </row>
    <row r="44" spans="1:15" x14ac:dyDescent="0.2">
      <c r="E44" s="48"/>
    </row>
    <row r="45" spans="1:15" x14ac:dyDescent="0.2">
      <c r="A45" s="12" t="s">
        <v>160</v>
      </c>
      <c r="B45" s="12"/>
      <c r="C45" s="13">
        <v>2024</v>
      </c>
      <c r="D45" s="13">
        <v>2025</v>
      </c>
      <c r="E45" s="47">
        <v>2026</v>
      </c>
      <c r="F45" s="14">
        <f t="shared" ref="F45" si="15">E45+1</f>
        <v>2027</v>
      </c>
      <c r="G45" s="14">
        <f t="shared" ref="G45" si="16">F45+1</f>
        <v>2028</v>
      </c>
      <c r="H45" s="14">
        <f t="shared" ref="H45" si="17">G45+1</f>
        <v>2029</v>
      </c>
      <c r="I45" s="14">
        <f t="shared" ref="I45" si="18">H45+1</f>
        <v>2030</v>
      </c>
      <c r="J45" s="14">
        <f t="shared" ref="J45" si="19">I45+1</f>
        <v>2031</v>
      </c>
      <c r="K45" s="14">
        <f t="shared" ref="K45" si="20">J45+1</f>
        <v>2032</v>
      </c>
      <c r="L45" s="14">
        <f t="shared" ref="L45" si="21">K45+1</f>
        <v>2033</v>
      </c>
      <c r="M45" s="14">
        <f t="shared" ref="M45" si="22">L45+1</f>
        <v>2034</v>
      </c>
      <c r="N45" s="14">
        <f t="shared" ref="N45" si="23">M45+1</f>
        <v>2035</v>
      </c>
      <c r="O45" s="14">
        <f t="shared" ref="O45" si="24">N45+1</f>
        <v>2036</v>
      </c>
    </row>
    <row r="46" spans="1:15" x14ac:dyDescent="0.2">
      <c r="E46" s="48"/>
    </row>
    <row r="47" spans="1:15" x14ac:dyDescent="0.2">
      <c r="A47" s="21" t="s">
        <v>159</v>
      </c>
      <c r="B47" s="22"/>
      <c r="C47" s="35">
        <v>-346.81599999999997</v>
      </c>
      <c r="D47" s="35">
        <v>-440.83600000000001</v>
      </c>
      <c r="E47" s="81">
        <v>-1102.9090000000001</v>
      </c>
      <c r="F47" s="71">
        <f>Estimates!F45</f>
        <v>-2637.5</v>
      </c>
      <c r="G47" s="66">
        <f>Estimates!G45</f>
        <v>-3180.2551157913313</v>
      </c>
      <c r="H47" s="66">
        <f>Estimates!H45</f>
        <v>-2552.2826149770726</v>
      </c>
      <c r="I47" s="66">
        <f>Estimates!I45</f>
        <v>-2717.9909969708101</v>
      </c>
      <c r="J47" s="66">
        <f>Estimates!J45</f>
        <v>-2909.866389984365</v>
      </c>
      <c r="K47" s="66">
        <f>Estimates!K45</f>
        <v>-3070.4522441259342</v>
      </c>
      <c r="L47" s="66">
        <f>Estimates!L45</f>
        <v>-3140.0843139068234</v>
      </c>
      <c r="M47" s="66">
        <f>Estimates!M45</f>
        <v>-3103.0236798836409</v>
      </c>
      <c r="N47" s="66">
        <f>Estimates!N45</f>
        <v>-2952.3291899316614</v>
      </c>
      <c r="O47" s="67">
        <f>Estimates!O45</f>
        <v>-2878.4087918831242</v>
      </c>
    </row>
    <row r="48" spans="1:15" x14ac:dyDescent="0.2">
      <c r="A48" s="28" t="s">
        <v>3</v>
      </c>
      <c r="B48" s="29"/>
      <c r="C48" s="29"/>
      <c r="D48" s="30">
        <f>(D47/C47)-1</f>
        <v>0.27109475918066073</v>
      </c>
      <c r="E48" s="53">
        <f>(E47/D47)-1</f>
        <v>1.5018578337522346</v>
      </c>
      <c r="F48" s="68">
        <f>(F47/E47)-1</f>
        <v>1.3914030985330608</v>
      </c>
      <c r="G48" s="30">
        <f>(G47/F47)-1</f>
        <v>0.20578393015785079</v>
      </c>
      <c r="H48" s="30">
        <f t="shared" ref="H48:O48" si="25">(H47/G47)-1</f>
        <v>-0.19745978795729491</v>
      </c>
      <c r="I48" s="30">
        <f t="shared" si="25"/>
        <v>6.492556154296647E-2</v>
      </c>
      <c r="J48" s="30">
        <f t="shared" si="25"/>
        <v>7.0594565334248349E-2</v>
      </c>
      <c r="K48" s="30">
        <f t="shared" si="25"/>
        <v>5.518667616296713E-2</v>
      </c>
      <c r="L48" s="30">
        <f t="shared" si="25"/>
        <v>2.2678115223613071E-2</v>
      </c>
      <c r="M48" s="30">
        <f t="shared" si="25"/>
        <v>-1.1802432775148142E-2</v>
      </c>
      <c r="N48" s="30">
        <f t="shared" si="25"/>
        <v>-4.8563757643522165E-2</v>
      </c>
      <c r="O48" s="31">
        <f t="shared" si="25"/>
        <v>-2.5037993154905736E-2</v>
      </c>
    </row>
    <row r="49" spans="1:15" x14ac:dyDescent="0.2">
      <c r="A49" s="24" t="s">
        <v>2</v>
      </c>
      <c r="B49" s="25"/>
      <c r="C49" s="25">
        <f>-C47/C$17</f>
        <v>7.3670132770056129E-2</v>
      </c>
      <c r="D49" s="25">
        <f>-D47/D$17</f>
        <v>7.5873885456656201E-2</v>
      </c>
      <c r="E49" s="54">
        <f>-E47/E$17</f>
        <v>0.15494253377372677</v>
      </c>
      <c r="F49" s="26">
        <f>Estimates!F46</f>
        <v>0.25</v>
      </c>
      <c r="G49" s="26">
        <f>Estimates!G46</f>
        <v>0.23</v>
      </c>
      <c r="H49" s="26">
        <f>Estimates!H46</f>
        <v>0.14933031489040458</v>
      </c>
      <c r="I49" s="26">
        <f>Estimates!I46</f>
        <v>0.13399779419246755</v>
      </c>
      <c r="J49" s="26">
        <f>Estimates!J46</f>
        <v>0.12399090338898017</v>
      </c>
      <c r="K49" s="26">
        <f>Estimates!K46</f>
        <v>0.11551552426311247</v>
      </c>
      <c r="L49" s="26">
        <f>Estimates!L46</f>
        <v>0.10666662073825507</v>
      </c>
      <c r="M49" s="26">
        <f>Estimates!M46</f>
        <v>9.7424174782259954E-2</v>
      </c>
      <c r="N49" s="26">
        <f>Estimates!N46</f>
        <v>8.7772448633386554E-2</v>
      </c>
      <c r="O49" s="61">
        <f>Estimates!O46</f>
        <v>8.3082332684771359E-2</v>
      </c>
    </row>
    <row r="50" spans="1:15" x14ac:dyDescent="0.2">
      <c r="E50" s="48"/>
    </row>
    <row r="51" spans="1:15" x14ac:dyDescent="0.2">
      <c r="A51" s="12" t="s">
        <v>161</v>
      </c>
      <c r="B51" s="12"/>
      <c r="C51" s="13">
        <v>2024</v>
      </c>
      <c r="D51" s="13">
        <v>2025</v>
      </c>
      <c r="E51" s="47">
        <v>2026</v>
      </c>
      <c r="F51" s="14">
        <f t="shared" ref="F51" si="26">E51+1</f>
        <v>2027</v>
      </c>
      <c r="G51" s="14">
        <f t="shared" ref="G51" si="27">F51+1</f>
        <v>2028</v>
      </c>
      <c r="H51" s="14">
        <f t="shared" ref="H51" si="28">G51+1</f>
        <v>2029</v>
      </c>
      <c r="I51" s="14">
        <f t="shared" ref="I51" si="29">H51+1</f>
        <v>2030</v>
      </c>
      <c r="J51" s="14">
        <f t="shared" ref="J51" si="30">I51+1</f>
        <v>2031</v>
      </c>
      <c r="K51" s="14">
        <f t="shared" ref="K51" si="31">J51+1</f>
        <v>2032</v>
      </c>
      <c r="L51" s="14">
        <f t="shared" ref="L51" si="32">K51+1</f>
        <v>2033</v>
      </c>
      <c r="M51" s="14">
        <f t="shared" ref="M51" si="33">L51+1</f>
        <v>2034</v>
      </c>
      <c r="N51" s="14">
        <f t="shared" ref="N51" si="34">M51+1</f>
        <v>2035</v>
      </c>
      <c r="O51" s="14">
        <f t="shared" ref="O51" si="35">N51+1</f>
        <v>2036</v>
      </c>
    </row>
    <row r="52" spans="1:15" x14ac:dyDescent="0.2">
      <c r="E52" s="48"/>
    </row>
    <row r="53" spans="1:15" x14ac:dyDescent="0.2">
      <c r="A53" t="s">
        <v>210</v>
      </c>
      <c r="C53" s="39">
        <f>Estimates!C85</f>
        <v>1448.723</v>
      </c>
      <c r="D53" s="39">
        <f>Estimates!D85</f>
        <v>1579.2319999999993</v>
      </c>
      <c r="E53" s="82">
        <f>Estimates!E85</f>
        <v>2584.8180000000002</v>
      </c>
      <c r="F53" s="80">
        <f>Estimates!F85</f>
        <v>3049.0945205479456</v>
      </c>
      <c r="G53" s="80">
        <f>Estimates!G85</f>
        <v>3973.8982923944091</v>
      </c>
      <c r="H53" s="80">
        <f>Estimates!H85</f>
        <v>4884.4296887071578</v>
      </c>
      <c r="I53" s="80">
        <f>Estimates!I85</f>
        <v>5763.947390588648</v>
      </c>
      <c r="J53" s="80">
        <f>Estimates!J85</f>
        <v>6630.9442615581465</v>
      </c>
      <c r="K53" s="80">
        <f>Estimates!K85</f>
        <v>7467.2801006938689</v>
      </c>
      <c r="L53" s="80">
        <f>Estimates!L85</f>
        <v>8222.5616518345159</v>
      </c>
      <c r="M53" s="80">
        <f>Estimates!M85</f>
        <v>8896.3675968481457</v>
      </c>
      <c r="N53" s="80">
        <f>Estimates!N85</f>
        <v>9395.0897205164729</v>
      </c>
      <c r="O53" s="80">
        <f>Estimates!O85</f>
        <v>9676.942412131968</v>
      </c>
    </row>
    <row r="54" spans="1:15" x14ac:dyDescent="0.2">
      <c r="E54" s="83"/>
    </row>
    <row r="55" spans="1:15" x14ac:dyDescent="0.2">
      <c r="A55" s="21" t="s">
        <v>161</v>
      </c>
      <c r="B55" s="22"/>
      <c r="C55" s="36"/>
      <c r="D55" s="36">
        <f>D53-C53</f>
        <v>130.50899999999933</v>
      </c>
      <c r="E55" s="36">
        <f>E53-D53</f>
        <v>1005.5860000000009</v>
      </c>
      <c r="F55" s="84">
        <f t="shared" ref="F55:O55" si="36">F53-E53</f>
        <v>464.27652054794544</v>
      </c>
      <c r="G55" s="36">
        <f t="shared" si="36"/>
        <v>924.80377184646341</v>
      </c>
      <c r="H55" s="36">
        <f t="shared" si="36"/>
        <v>910.53139631274871</v>
      </c>
      <c r="I55" s="36">
        <f t="shared" si="36"/>
        <v>879.51770188149021</v>
      </c>
      <c r="J55" s="36">
        <f t="shared" si="36"/>
        <v>866.99687096949856</v>
      </c>
      <c r="K55" s="36">
        <f t="shared" si="36"/>
        <v>836.33583913572238</v>
      </c>
      <c r="L55" s="36">
        <f t="shared" si="36"/>
        <v>755.28155114064703</v>
      </c>
      <c r="M55" s="36">
        <f t="shared" si="36"/>
        <v>673.80594501362975</v>
      </c>
      <c r="N55" s="36">
        <f t="shared" si="36"/>
        <v>498.72212366832719</v>
      </c>
      <c r="O55" s="86">
        <f t="shared" si="36"/>
        <v>281.85269161549513</v>
      </c>
    </row>
    <row r="56" spans="1:15" x14ac:dyDescent="0.2">
      <c r="A56" s="28" t="s">
        <v>3</v>
      </c>
      <c r="B56" s="29"/>
      <c r="C56" s="29"/>
      <c r="D56" s="30"/>
      <c r="E56" s="30">
        <f>(E55/D55)-1</f>
        <v>6.7051084599530002</v>
      </c>
      <c r="F56" s="68">
        <f t="shared" ref="F56:O56" si="37">(F55/E55)-1</f>
        <v>-0.53830252156658398</v>
      </c>
      <c r="G56" s="30">
        <f t="shared" si="37"/>
        <v>0.99192449093699042</v>
      </c>
      <c r="H56" s="30">
        <f t="shared" si="37"/>
        <v>-1.5432869077965039E-2</v>
      </c>
      <c r="I56" s="30">
        <f t="shared" si="37"/>
        <v>-3.4061092848473251E-2</v>
      </c>
      <c r="J56" s="30">
        <f t="shared" si="37"/>
        <v>-1.4236019224180163E-2</v>
      </c>
      <c r="K56" s="30">
        <f t="shared" si="37"/>
        <v>-3.5364639551109578E-2</v>
      </c>
      <c r="L56" s="30">
        <f t="shared" si="37"/>
        <v>-9.6915956727189445E-2</v>
      </c>
      <c r="M56" s="30">
        <f t="shared" si="37"/>
        <v>-0.10787448204443839</v>
      </c>
      <c r="N56" s="30">
        <f t="shared" si="37"/>
        <v>-0.25984309375863546</v>
      </c>
      <c r="O56" s="53">
        <f t="shared" si="37"/>
        <v>-0.43485023374872389</v>
      </c>
    </row>
    <row r="57" spans="1:15" x14ac:dyDescent="0.2">
      <c r="A57" s="24" t="s">
        <v>2</v>
      </c>
      <c r="B57" s="25"/>
      <c r="C57" s="25"/>
      <c r="D57" s="25">
        <f t="shared" ref="D57:O57" si="38">D55/D$17</f>
        <v>2.2462378111276514E-2</v>
      </c>
      <c r="E57" s="25">
        <f t="shared" si="38"/>
        <v>0.14127008009490077</v>
      </c>
      <c r="F57" s="85">
        <f t="shared" si="38"/>
        <v>4.4007253132506675E-2</v>
      </c>
      <c r="G57" s="25">
        <f t="shared" si="38"/>
        <v>6.6882957429583445E-2</v>
      </c>
      <c r="H57" s="25">
        <f t="shared" si="38"/>
        <v>5.3273857421233882E-2</v>
      </c>
      <c r="I57" s="25">
        <f t="shared" si="38"/>
        <v>4.3360493885629174E-2</v>
      </c>
      <c r="J57" s="25">
        <f t="shared" si="38"/>
        <v>3.6943182558806353E-2</v>
      </c>
      <c r="K57" s="25">
        <f t="shared" si="38"/>
        <v>3.1464346368720343E-2</v>
      </c>
      <c r="L57" s="25">
        <f t="shared" si="38"/>
        <v>2.5656422793910682E-2</v>
      </c>
      <c r="M57" s="25">
        <f t="shared" si="38"/>
        <v>2.1155168290174088E-2</v>
      </c>
      <c r="N57" s="25">
        <f t="shared" si="38"/>
        <v>1.4826958366057059E-2</v>
      </c>
      <c r="O57" s="54">
        <f t="shared" si="38"/>
        <v>8.1353903444607266E-3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5247-FF6A-134A-80BF-876311622E77}">
  <dimension ref="A2:H36"/>
  <sheetViews>
    <sheetView showGridLines="0" topLeftCell="A19" zoomScale="130" zoomScaleNormal="130" workbookViewId="0">
      <selection activeCell="C36" sqref="C36"/>
    </sheetView>
  </sheetViews>
  <sheetFormatPr baseColWidth="10" defaultRowHeight="15" x14ac:dyDescent="0.2"/>
  <cols>
    <col min="1" max="1" width="17.33203125" bestFit="1" customWidth="1"/>
    <col min="7" max="7" width="12.5" bestFit="1" customWidth="1"/>
  </cols>
  <sheetData>
    <row r="2" spans="1:5" x14ac:dyDescent="0.2">
      <c r="A2" s="12" t="s">
        <v>162</v>
      </c>
      <c r="B2" s="37"/>
      <c r="C2" s="37"/>
      <c r="D2" s="37"/>
      <c r="E2" s="38"/>
    </row>
    <row r="3" spans="1:5" x14ac:dyDescent="0.2">
      <c r="E3" s="38"/>
    </row>
    <row r="4" spans="1:5" x14ac:dyDescent="0.2">
      <c r="A4" t="s">
        <v>163</v>
      </c>
      <c r="C4" s="38"/>
      <c r="D4" s="41">
        <v>57770.59</v>
      </c>
      <c r="E4" s="38"/>
    </row>
    <row r="5" spans="1:5" x14ac:dyDescent="0.2">
      <c r="A5" t="s">
        <v>164</v>
      </c>
      <c r="C5" s="38"/>
      <c r="D5" s="40">
        <f>D4/(D11+D4)</f>
        <v>0.94717043224141118</v>
      </c>
      <c r="E5" s="38"/>
    </row>
    <row r="6" spans="1:5" x14ac:dyDescent="0.2">
      <c r="A6" t="s">
        <v>165</v>
      </c>
      <c r="C6" s="38"/>
      <c r="D6" s="40">
        <f>D7+(D8*D9)</f>
        <v>0.12201355947605025</v>
      </c>
      <c r="E6" s="38"/>
    </row>
    <row r="7" spans="1:5" x14ac:dyDescent="0.2">
      <c r="A7" t="s">
        <v>166</v>
      </c>
      <c r="C7" s="38"/>
      <c r="D7" s="43">
        <v>4.6800000000000001E-2</v>
      </c>
      <c r="E7" s="38"/>
    </row>
    <row r="8" spans="1:5" x14ac:dyDescent="0.2">
      <c r="A8" t="s">
        <v>167</v>
      </c>
      <c r="C8" s="38"/>
      <c r="D8" s="39">
        <f>C30</f>
        <v>1.7016642415395982</v>
      </c>
      <c r="E8" s="38"/>
    </row>
    <row r="9" spans="1:5" x14ac:dyDescent="0.2">
      <c r="A9" t="s">
        <v>168</v>
      </c>
      <c r="C9" s="38"/>
      <c r="D9" s="43">
        <v>4.4200000000000003E-2</v>
      </c>
      <c r="E9" s="38"/>
    </row>
    <row r="10" spans="1:5" x14ac:dyDescent="0.2">
      <c r="C10" s="38"/>
      <c r="E10" s="38"/>
    </row>
    <row r="11" spans="1:5" x14ac:dyDescent="0.2">
      <c r="A11" t="s">
        <v>169</v>
      </c>
      <c r="C11" s="38"/>
      <c r="D11" s="39">
        <f>'Consolidated Balance Sheet'!C30+'Consolidated Balance Sheet'!C23</f>
        <v>3222.2240000000002</v>
      </c>
      <c r="E11" s="38"/>
    </row>
    <row r="12" spans="1:5" x14ac:dyDescent="0.2">
      <c r="A12" t="s">
        <v>170</v>
      </c>
      <c r="C12" s="38"/>
      <c r="D12" s="40">
        <f>D11/(D4+D11)</f>
        <v>5.2829567758588748E-2</v>
      </c>
      <c r="E12" s="38"/>
    </row>
    <row r="13" spans="1:5" x14ac:dyDescent="0.2">
      <c r="A13" t="s">
        <v>171</v>
      </c>
      <c r="C13" s="38"/>
      <c r="D13" s="40">
        <f>D7+D14</f>
        <v>6.5200000000000008E-2</v>
      </c>
      <c r="E13" s="38"/>
    </row>
    <row r="14" spans="1:5" x14ac:dyDescent="0.2">
      <c r="A14" t="s">
        <v>284</v>
      </c>
      <c r="D14" s="43">
        <v>1.84E-2</v>
      </c>
      <c r="E14" s="38"/>
    </row>
    <row r="15" spans="1:5" x14ac:dyDescent="0.2">
      <c r="A15" t="s">
        <v>172</v>
      </c>
      <c r="C15" s="38"/>
      <c r="D15" s="43">
        <v>0.21</v>
      </c>
    </row>
    <row r="17" spans="1:8" x14ac:dyDescent="0.2">
      <c r="A17" s="42" t="s">
        <v>162</v>
      </c>
      <c r="D17" s="29">
        <f>(D5*D6)+((D12*D13)*(1-D15))</f>
        <v>0.11828878124435303</v>
      </c>
    </row>
    <row r="21" spans="1:8" x14ac:dyDescent="0.2">
      <c r="A21" s="12" t="s">
        <v>173</v>
      </c>
      <c r="B21" s="37"/>
      <c r="C21" s="37"/>
      <c r="D21" s="37"/>
      <c r="E21" s="37"/>
      <c r="F21" s="37"/>
      <c r="G21" s="37"/>
    </row>
    <row r="23" spans="1:8" x14ac:dyDescent="0.2">
      <c r="B23" s="42" t="s">
        <v>174</v>
      </c>
      <c r="C23" s="42" t="s">
        <v>163</v>
      </c>
      <c r="D23" s="42" t="s">
        <v>169</v>
      </c>
      <c r="E23" s="42" t="s">
        <v>175</v>
      </c>
      <c r="F23" s="42"/>
      <c r="G23" s="42" t="s">
        <v>176</v>
      </c>
    </row>
    <row r="24" spans="1:8" x14ac:dyDescent="0.2"/>
    <row r="25" spans="1:8" x14ac:dyDescent="0.2">
      <c r="A25" t="s">
        <v>177</v>
      </c>
      <c r="B25" s="41">
        <v>1.9</v>
      </c>
      <c r="C25" s="41">
        <v>86936.960000000006</v>
      </c>
      <c r="D25" s="41">
        <v>1461.8</v>
      </c>
      <c r="E25" s="43">
        <v>0.21</v>
      </c>
      <c r="G25" s="39">
        <f>B25/(1+(1-E25)*(D25/C25))</f>
        <v>1.8750923213245927</v>
      </c>
    </row>
    <row r="26" spans="1:8" x14ac:dyDescent="0.2">
      <c r="A26" t="s">
        <v>178</v>
      </c>
      <c r="B26" s="41">
        <v>1.62</v>
      </c>
      <c r="C26" s="41">
        <v>16521.93</v>
      </c>
      <c r="D26" s="41">
        <f>26.32+12.44</f>
        <v>38.76</v>
      </c>
      <c r="E26" s="43">
        <v>0.21</v>
      </c>
      <c r="G26" s="39">
        <f t="shared" ref="G26:G27" si="0">B26/(1+(1-E26)*(D26/C26))</f>
        <v>1.617003177951357</v>
      </c>
    </row>
    <row r="27" spans="1:8" x14ac:dyDescent="0.2">
      <c r="A27" t="s">
        <v>179</v>
      </c>
      <c r="B27" s="41">
        <v>1.42</v>
      </c>
      <c r="C27" s="41">
        <v>57716.12</v>
      </c>
      <c r="D27" s="41">
        <f>1021.1+157.9</f>
        <v>1179</v>
      </c>
      <c r="E27" s="43">
        <v>0.21</v>
      </c>
      <c r="G27" s="39">
        <f t="shared" si="0"/>
        <v>1.3974482881035228</v>
      </c>
    </row>
    <row r="29" spans="1:8" x14ac:dyDescent="0.2">
      <c r="A29" t="s">
        <v>180</v>
      </c>
      <c r="C29" s="39">
        <f>AVERAGE(G25:G27)</f>
        <v>1.6298479291264909</v>
      </c>
    </row>
    <row r="30" spans="1:8" x14ac:dyDescent="0.2">
      <c r="A30" s="42" t="s">
        <v>174</v>
      </c>
      <c r="C30" s="44">
        <f>C29*(1+(1-D15)*(D11/D4))</f>
        <v>1.7016642415395982</v>
      </c>
    </row>
    <row r="34" spans="1:3" x14ac:dyDescent="0.2">
      <c r="A34" s="42" t="s">
        <v>283</v>
      </c>
      <c r="B34" s="42"/>
      <c r="C34" s="102">
        <v>1.1499999999999999</v>
      </c>
    </row>
    <row r="35" spans="1:3" x14ac:dyDescent="0.2">
      <c r="A35" s="42" t="s">
        <v>250</v>
      </c>
      <c r="B35" s="42"/>
      <c r="C35" s="29">
        <f>D7+C34*D9</f>
        <v>9.7629999999999995E-2</v>
      </c>
    </row>
    <row r="36" spans="1:3" x14ac:dyDescent="0.2">
      <c r="A36" s="42" t="s">
        <v>251</v>
      </c>
      <c r="B36" s="42"/>
      <c r="C36" s="29">
        <f>(D5*C35)+((D12*D13)*(1-D15))</f>
        <v>9.5193394675838358E-2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3496D-C4D0-BF4F-A5F5-5A11BF565B10}">
  <dimension ref="A2:P86"/>
  <sheetViews>
    <sheetView showGridLines="0" topLeftCell="A9" zoomScale="120" zoomScaleNormal="120" workbookViewId="0">
      <selection activeCell="A81" sqref="A81"/>
    </sheetView>
  </sheetViews>
  <sheetFormatPr baseColWidth="10" defaultRowHeight="15" x14ac:dyDescent="0.2"/>
  <cols>
    <col min="2" max="2" width="17.83203125" customWidth="1"/>
    <col min="11" max="11" width="12" bestFit="1" customWidth="1"/>
  </cols>
  <sheetData>
    <row r="2" spans="1:11" x14ac:dyDescent="0.2">
      <c r="A2" s="12" t="s">
        <v>182</v>
      </c>
      <c r="B2" s="12"/>
      <c r="C2" s="12" t="s">
        <v>194</v>
      </c>
      <c r="D2" s="12" t="s">
        <v>195</v>
      </c>
      <c r="E2" s="12" t="s">
        <v>196</v>
      </c>
      <c r="F2" s="12" t="s">
        <v>197</v>
      </c>
      <c r="G2" s="12" t="s">
        <v>185</v>
      </c>
      <c r="H2" s="12" t="s">
        <v>186</v>
      </c>
      <c r="I2" s="12" t="s">
        <v>187</v>
      </c>
      <c r="J2" s="12" t="s">
        <v>188</v>
      </c>
      <c r="K2" s="12" t="s">
        <v>189</v>
      </c>
    </row>
    <row r="3" spans="1:11" x14ac:dyDescent="0.2">
      <c r="K3" s="42"/>
    </row>
    <row r="4" spans="1:11" x14ac:dyDescent="0.2">
      <c r="A4" s="42" t="s">
        <v>192</v>
      </c>
    </row>
    <row r="6" spans="1:11" x14ac:dyDescent="0.2">
      <c r="A6" t="s">
        <v>193</v>
      </c>
      <c r="J6" s="39">
        <f>3000*'Operating model'!F11</f>
        <v>2491.4941876777248</v>
      </c>
    </row>
    <row r="7" spans="1:11" x14ac:dyDescent="0.2">
      <c r="A7" t="s">
        <v>183</v>
      </c>
      <c r="C7" s="43">
        <v>0.08</v>
      </c>
      <c r="D7" s="43">
        <v>7.0000000000000007E-2</v>
      </c>
      <c r="E7" s="43">
        <v>7.0000000000000007E-2</v>
      </c>
      <c r="F7" s="43">
        <v>6.5000000000000002E-2</v>
      </c>
      <c r="G7" s="39">
        <f>$J$6*(1+C7+Scenarios!$E$9)</f>
        <v>2690.813722691943</v>
      </c>
      <c r="H7" s="39">
        <f>G7*(1+D7+Scenarios!$E$9)</f>
        <v>2879.1706832803793</v>
      </c>
      <c r="I7" s="39">
        <f>H7*(1+E7+Scenarios!$E$9)</f>
        <v>3080.712631110006</v>
      </c>
      <c r="J7" s="39">
        <f>I7*(1+F7+Scenarios!$E$9)</f>
        <v>3280.9589521321564</v>
      </c>
      <c r="K7" s="29">
        <f>(SUM(G7:J7)/'Operating model'!F9)-1</f>
        <v>0.36178843033175356</v>
      </c>
    </row>
    <row r="8" spans="1:11" x14ac:dyDescent="0.2">
      <c r="A8" t="s">
        <v>184</v>
      </c>
      <c r="C8" s="43">
        <v>0.06</v>
      </c>
      <c r="D8" s="43">
        <v>5.5E-2</v>
      </c>
      <c r="E8" s="43">
        <v>5.5E-2</v>
      </c>
      <c r="F8" s="43">
        <v>0.05</v>
      </c>
      <c r="G8" s="39">
        <f>$J$7*(1+C8+Scenarios!$E$9)</f>
        <v>3477.8164892600857</v>
      </c>
      <c r="H8" s="39">
        <f>G8*(1+D8+Scenarios!$E$9)</f>
        <v>3669.0963961693901</v>
      </c>
      <c r="I8" s="39">
        <f>H8*(1+E8+Scenarios!$E$9)</f>
        <v>3870.8966979587062</v>
      </c>
      <c r="J8" s="39">
        <f>I8*(1+F8+Scenarios!$E$9)</f>
        <v>4064.4415328566415</v>
      </c>
      <c r="K8" s="29">
        <f>(SUM(G8:J8)/'Operating model'!G9)-1</f>
        <v>0.26405346666701535</v>
      </c>
    </row>
    <row r="9" spans="1:11" x14ac:dyDescent="0.2">
      <c r="A9" t="s">
        <v>190</v>
      </c>
      <c r="C9" s="40"/>
      <c r="D9" s="40"/>
      <c r="E9" s="40"/>
      <c r="F9" s="40"/>
      <c r="K9" s="29">
        <f>Scenarios!$E$10</f>
        <v>0.20499999999999999</v>
      </c>
    </row>
    <row r="10" spans="1:11" x14ac:dyDescent="0.2">
      <c r="A10" t="s">
        <v>191</v>
      </c>
      <c r="C10" s="40"/>
      <c r="D10" s="40"/>
      <c r="E10" s="40"/>
      <c r="F10" s="40"/>
      <c r="K10" s="29">
        <f>Scenarios!$E$11</f>
        <v>0.17</v>
      </c>
    </row>
    <row r="12" spans="1:11" x14ac:dyDescent="0.2">
      <c r="A12" s="42" t="s">
        <v>4</v>
      </c>
    </row>
    <row r="14" spans="1:11" x14ac:dyDescent="0.2">
      <c r="A14" t="s">
        <v>198</v>
      </c>
      <c r="J14" s="62"/>
    </row>
    <row r="15" spans="1:11" x14ac:dyDescent="0.2">
      <c r="A15" t="s">
        <v>183</v>
      </c>
      <c r="C15" s="43"/>
      <c r="D15" s="43"/>
      <c r="E15" s="43"/>
      <c r="F15" s="43"/>
      <c r="G15" s="39"/>
      <c r="H15" s="39"/>
      <c r="I15" s="39"/>
      <c r="J15" s="39"/>
      <c r="K15" s="63">
        <v>0.06</v>
      </c>
    </row>
    <row r="16" spans="1:11" x14ac:dyDescent="0.2">
      <c r="A16" t="s">
        <v>184</v>
      </c>
      <c r="C16" s="43"/>
      <c r="D16" s="43"/>
      <c r="E16" s="43"/>
      <c r="F16" s="43"/>
      <c r="G16" s="39"/>
      <c r="H16" s="39"/>
      <c r="I16" s="39"/>
      <c r="J16" s="39"/>
      <c r="K16" s="63">
        <v>0.06</v>
      </c>
    </row>
    <row r="17" spans="1:16" x14ac:dyDescent="0.2">
      <c r="A17" t="s">
        <v>190</v>
      </c>
      <c r="C17" s="40"/>
      <c r="D17" s="40"/>
      <c r="E17" s="40"/>
      <c r="F17" s="40"/>
      <c r="K17" s="63">
        <v>0.05</v>
      </c>
    </row>
    <row r="18" spans="1:16" x14ac:dyDescent="0.2">
      <c r="A18" t="s">
        <v>191</v>
      </c>
      <c r="C18" s="40"/>
      <c r="D18" s="40"/>
      <c r="E18" s="40"/>
      <c r="F18" s="40"/>
      <c r="K18" s="63">
        <v>4.4999999999999998E-2</v>
      </c>
    </row>
    <row r="20" spans="1:16" x14ac:dyDescent="0.2">
      <c r="A20" s="42"/>
      <c r="J20" s="62"/>
    </row>
    <row r="21" spans="1:16" x14ac:dyDescent="0.2">
      <c r="A21" s="12" t="s">
        <v>151</v>
      </c>
      <c r="B21" s="13"/>
      <c r="C21" s="13">
        <v>2024</v>
      </c>
      <c r="D21" s="13">
        <v>2025</v>
      </c>
      <c r="E21" s="13">
        <v>2026</v>
      </c>
      <c r="F21" s="14">
        <f t="shared" ref="F21:O21" si="0">E21+1</f>
        <v>2027</v>
      </c>
      <c r="G21" s="14">
        <f t="shared" si="0"/>
        <v>2028</v>
      </c>
      <c r="H21" s="14">
        <f t="shared" si="0"/>
        <v>2029</v>
      </c>
      <c r="I21" s="14">
        <f t="shared" si="0"/>
        <v>2030</v>
      </c>
      <c r="J21" s="14">
        <f t="shared" si="0"/>
        <v>2031</v>
      </c>
      <c r="K21" s="14">
        <f t="shared" si="0"/>
        <v>2032</v>
      </c>
      <c r="L21" s="14">
        <f t="shared" si="0"/>
        <v>2033</v>
      </c>
      <c r="M21" s="14">
        <f t="shared" si="0"/>
        <v>2034</v>
      </c>
      <c r="N21" s="14">
        <f t="shared" si="0"/>
        <v>2035</v>
      </c>
      <c r="O21" s="14">
        <f t="shared" si="0"/>
        <v>2036</v>
      </c>
    </row>
    <row r="23" spans="1:16" x14ac:dyDescent="0.2">
      <c r="A23" t="s">
        <v>0</v>
      </c>
      <c r="C23" s="64" cm="1">
        <f t="array" ref="C23:E23">'Consolidated Income Stmt'!B4:D4</f>
        <v>4707.6880000000001</v>
      </c>
      <c r="D23" s="64">
        <v>5810.1149999999998</v>
      </c>
      <c r="E23" s="64">
        <v>7118.1809999999996</v>
      </c>
      <c r="F23" s="39"/>
      <c r="G23" s="39"/>
      <c r="H23" s="39"/>
      <c r="I23" s="39"/>
      <c r="J23" s="39"/>
      <c r="K23" s="39"/>
      <c r="L23" s="39"/>
      <c r="M23" s="39"/>
      <c r="N23" s="39"/>
      <c r="O23" s="39"/>
    </row>
    <row r="24" spans="1:16" x14ac:dyDescent="0.2">
      <c r="A24" t="s">
        <v>199</v>
      </c>
      <c r="C24" s="64" cm="1">
        <f t="array" ref="C24:E24">'Consolidated Income Stmt'!B6:D6</f>
        <v>3251.7240000000002</v>
      </c>
      <c r="D24" s="64">
        <v>3766.7930000000001</v>
      </c>
      <c r="E24" s="64">
        <v>4449.1409999999996</v>
      </c>
      <c r="F24" s="39"/>
      <c r="G24" s="39"/>
      <c r="H24" s="39"/>
      <c r="I24" s="39"/>
      <c r="J24" s="39"/>
      <c r="K24" s="39"/>
      <c r="L24" s="39"/>
      <c r="M24" s="39"/>
      <c r="N24" s="39"/>
      <c r="O24" s="39"/>
    </row>
    <row r="25" spans="1:16" s="16" customFormat="1" x14ac:dyDescent="0.2">
      <c r="A25" s="20" t="s">
        <v>204</v>
      </c>
      <c r="B25" s="20"/>
      <c r="C25" s="65">
        <f>C24/C23</f>
        <v>0.69072631831166387</v>
      </c>
      <c r="D25" s="65">
        <f t="shared" ref="D25:E25" si="1">D24/D23</f>
        <v>0.64831642747174545</v>
      </c>
      <c r="E25" s="65">
        <f t="shared" si="1"/>
        <v>0.6250390373608089</v>
      </c>
      <c r="F25" s="20"/>
      <c r="G25" s="20"/>
      <c r="H25" s="20"/>
      <c r="I25" s="20"/>
      <c r="J25" s="20"/>
      <c r="K25" s="20"/>
      <c r="L25" s="20"/>
      <c r="M25" s="20"/>
      <c r="N25" s="20"/>
      <c r="O25" s="20"/>
    </row>
    <row r="26" spans="1:16" s="16" customFormat="1" x14ac:dyDescent="0.2">
      <c r="A26" s="20" t="s">
        <v>3</v>
      </c>
      <c r="B26" s="20"/>
      <c r="C26" s="20"/>
      <c r="D26" s="20">
        <f>D24/C24-1</f>
        <v>0.15839874478891813</v>
      </c>
      <c r="E26" s="20">
        <f>E24/D24-1</f>
        <v>0.18114826060258671</v>
      </c>
      <c r="F26" s="20"/>
      <c r="G26" s="20"/>
      <c r="H26" s="20"/>
      <c r="I26" s="20"/>
      <c r="J26" s="20"/>
      <c r="K26" s="20"/>
      <c r="L26" s="20"/>
      <c r="M26" s="20"/>
      <c r="N26" s="20"/>
      <c r="O26" s="20"/>
    </row>
    <row r="27" spans="1:16" x14ac:dyDescent="0.2">
      <c r="A27" t="s">
        <v>200</v>
      </c>
      <c r="C27" s="39">
        <f>C23-C24</f>
        <v>1455.9639999999999</v>
      </c>
      <c r="D27" s="39">
        <f>D23-D24</f>
        <v>2043.3219999999997</v>
      </c>
      <c r="E27" s="39">
        <f>E23-E24</f>
        <v>2669.04</v>
      </c>
      <c r="F27" s="39">
        <f>'Operating model'!F17*Estimates!F28</f>
        <v>4072.3</v>
      </c>
      <c r="G27" s="39">
        <f>'Operating model'!G17*Estimates!G28</f>
        <v>5473.2651449307332</v>
      </c>
      <c r="H27" s="39">
        <f>'Operating model'!H17*Estimates!H28</f>
        <v>6933.4614446430933</v>
      </c>
      <c r="I27" s="39">
        <f>'Operating model'!I17*Estimates!I28</f>
        <v>8427.9391765155979</v>
      </c>
      <c r="J27" s="39">
        <f>'Operating model'!J17*Estimates!J28</f>
        <v>9981.8868753938132</v>
      </c>
      <c r="K27" s="39">
        <f>'Operating model'!K17*Estimates!K28</f>
        <v>11566.916886357794</v>
      </c>
      <c r="L27" s="39">
        <f>'Operating model'!L17*Estimates!L28</f>
        <v>13100.044887682405</v>
      </c>
      <c r="M27" s="39">
        <f>'Operating model'!M17*Estimates!M28</f>
        <v>14173.541019304168</v>
      </c>
      <c r="N27" s="39">
        <f>'Operating model'!N17*Estimates!N28</f>
        <v>14968.096594947405</v>
      </c>
      <c r="O27" s="39">
        <f>'Operating model'!O17*Estimates!O28</f>
        <v>15417.139492795828</v>
      </c>
    </row>
    <row r="28" spans="1:16" s="16" customFormat="1" x14ac:dyDescent="0.2">
      <c r="A28" s="20" t="s">
        <v>205</v>
      </c>
      <c r="B28" s="20"/>
      <c r="C28" s="65">
        <f>C27/C23</f>
        <v>0.30927368168833619</v>
      </c>
      <c r="D28" s="65">
        <f>D27/D23</f>
        <v>0.35168357252825455</v>
      </c>
      <c r="E28" s="65">
        <f>E27/E23</f>
        <v>0.3749609626391911</v>
      </c>
      <c r="F28" s="58">
        <v>0.38600000000000001</v>
      </c>
      <c r="G28" s="40">
        <f>$F$28+($L$28-$F$28)*(G$21-$F$21)/($L$21-$F$21)</f>
        <v>0.39583333333333337</v>
      </c>
      <c r="H28" s="40">
        <f t="shared" ref="H28:K28" si="2">$F$28+($L$28-$F$28)*(H$21-$F$21)/($L$21-$F$21)</f>
        <v>0.40566666666666668</v>
      </c>
      <c r="I28" s="40">
        <f t="shared" si="2"/>
        <v>0.41549999999999998</v>
      </c>
      <c r="J28" s="40">
        <f t="shared" si="2"/>
        <v>0.42533333333333334</v>
      </c>
      <c r="K28" s="40">
        <f t="shared" si="2"/>
        <v>0.4351666666666667</v>
      </c>
      <c r="L28" s="40">
        <f>Scenarios!$E$12</f>
        <v>0.44500000000000001</v>
      </c>
      <c r="M28" s="20">
        <f>L28</f>
        <v>0.44500000000000001</v>
      </c>
      <c r="N28" s="20">
        <f>M28</f>
        <v>0.44500000000000001</v>
      </c>
      <c r="O28" s="20">
        <f>N28</f>
        <v>0.44500000000000001</v>
      </c>
    </row>
    <row r="29" spans="1:16" x14ac:dyDescent="0.2">
      <c r="A29" s="20" t="s">
        <v>3</v>
      </c>
      <c r="D29" s="20">
        <f t="shared" ref="D29:O29" si="3">D27/C27-1</f>
        <v>0.4034151943317279</v>
      </c>
      <c r="E29" s="20">
        <f t="shared" si="3"/>
        <v>0.30622584203566561</v>
      </c>
      <c r="F29" s="20">
        <f t="shared" si="3"/>
        <v>0.52575457842520157</v>
      </c>
      <c r="G29" s="20">
        <f t="shared" si="3"/>
        <v>0.34402306925588322</v>
      </c>
      <c r="H29" s="20">
        <f t="shared" si="3"/>
        <v>0.26678705691149918</v>
      </c>
      <c r="I29" s="20">
        <f t="shared" si="3"/>
        <v>0.21554569010074509</v>
      </c>
      <c r="J29" s="20">
        <f t="shared" si="3"/>
        <v>0.18438050706491582</v>
      </c>
      <c r="K29" s="20">
        <f t="shared" si="3"/>
        <v>0.15879062052598614</v>
      </c>
      <c r="L29" s="20">
        <f t="shared" si="3"/>
        <v>0.13254422214555772</v>
      </c>
      <c r="M29" s="20">
        <f t="shared" si="3"/>
        <v>8.1945988798186598E-2</v>
      </c>
      <c r="N29" s="20">
        <f t="shared" si="3"/>
        <v>5.6059073350905209E-2</v>
      </c>
      <c r="O29" s="20">
        <f t="shared" si="3"/>
        <v>3.0000000000000027E-2</v>
      </c>
    </row>
    <row r="30" spans="1:16" x14ac:dyDescent="0.2">
      <c r="A30" t="s">
        <v>201</v>
      </c>
      <c r="C30" s="64" cm="1">
        <f t="array" ref="C30:E30">'Consolidated Income Stmt'!B7:D7</f>
        <v>478.78800000000001</v>
      </c>
      <c r="D30" s="64">
        <v>581.92399999999998</v>
      </c>
      <c r="E30" s="64">
        <v>722.952</v>
      </c>
      <c r="F30" s="39">
        <f>'Operating model'!F17*Estimates!F31</f>
        <v>1055</v>
      </c>
      <c r="G30" s="39">
        <f>'Operating model'!G17*Estimates!G31</f>
        <v>1352.7606905576172</v>
      </c>
      <c r="H30" s="39">
        <f>'Operating model'!H17*Estimates!H31</f>
        <v>1635.0890999281573</v>
      </c>
      <c r="I30" s="39">
        <f>'Operating model'!I17*Estimates!I31</f>
        <v>1896.5398628260129</v>
      </c>
      <c r="J30" s="39">
        <f>'Operating model'!J17*Estimates!J31</f>
        <v>2143.4459277883266</v>
      </c>
      <c r="K30" s="39">
        <f>'Operating model'!K17*Estimates!K31</f>
        <v>2370.0882934513284</v>
      </c>
      <c r="L30" s="39">
        <f>'Operating model'!L17*Estimates!L31</f>
        <v>2561.1323712997059</v>
      </c>
      <c r="M30" s="39">
        <f>'Operating model'!M17*Estimates!M31</f>
        <v>2771.0068959089044</v>
      </c>
      <c r="N30" s="39">
        <f>'Operating model'!N17*Estimates!N31</f>
        <v>2926.3469747425261</v>
      </c>
      <c r="O30" s="39">
        <f>'Operating model'!O17*Estimates!O31</f>
        <v>3014.1373839848025</v>
      </c>
    </row>
    <row r="31" spans="1:16" s="16" customFormat="1" x14ac:dyDescent="0.2">
      <c r="A31" s="20" t="s">
        <v>204</v>
      </c>
      <c r="B31" s="20"/>
      <c r="C31" s="20">
        <f>C30/C23</f>
        <v>0.10170342639529213</v>
      </c>
      <c r="D31" s="20">
        <f>D30/D23</f>
        <v>0.1001570536899872</v>
      </c>
      <c r="E31" s="20">
        <f>E30/E23</f>
        <v>0.10156414960507468</v>
      </c>
      <c r="F31" s="58">
        <v>0.1</v>
      </c>
      <c r="G31" s="40">
        <f>$F$31+($L$31-$F$31)*(G$21-$F$21)/($L$21-$F$21)</f>
        <v>9.7833333333333342E-2</v>
      </c>
      <c r="H31" s="40">
        <f t="shared" ref="H31:J31" si="4">$F$31+($L$31-$F$31)*(H$21-$F$21)/($L$21-$F$21)</f>
        <v>9.5666666666666664E-2</v>
      </c>
      <c r="I31" s="40">
        <f t="shared" si="4"/>
        <v>9.35E-2</v>
      </c>
      <c r="J31" s="40">
        <f t="shared" si="4"/>
        <v>9.1333333333333336E-2</v>
      </c>
      <c r="K31" s="40">
        <f>$F$31+($L$31-$F$31)*(K$21-$F$21)/($L$21-$F$21)</f>
        <v>8.9166666666666658E-2</v>
      </c>
      <c r="L31" s="43">
        <v>8.6999999999999994E-2</v>
      </c>
      <c r="M31" s="40">
        <f>L31</f>
        <v>8.6999999999999994E-2</v>
      </c>
      <c r="N31" s="40">
        <f t="shared" ref="N31:O31" si="5">M31</f>
        <v>8.6999999999999994E-2</v>
      </c>
      <c r="O31" s="40">
        <f t="shared" si="5"/>
        <v>8.6999999999999994E-2</v>
      </c>
    </row>
    <row r="32" spans="1:16" s="16" customFormat="1" x14ac:dyDescent="0.2">
      <c r="A32" s="20" t="s">
        <v>3</v>
      </c>
      <c r="B32" s="20"/>
      <c r="C32" s="20"/>
      <c r="D32" s="20">
        <f t="shared" ref="D32:O32" si="6">D30/C30-1</f>
        <v>0.21541057837706878</v>
      </c>
      <c r="E32" s="20">
        <f t="shared" si="6"/>
        <v>0.24234779799423989</v>
      </c>
      <c r="F32" s="20">
        <f t="shared" si="6"/>
        <v>0.45929466963228549</v>
      </c>
      <c r="G32" s="20">
        <f t="shared" si="6"/>
        <v>0.28223762138162756</v>
      </c>
      <c r="H32" s="20">
        <f t="shared" si="6"/>
        <v>0.20870536181396759</v>
      </c>
      <c r="I32" s="20">
        <f t="shared" si="6"/>
        <v>0.15990000967491214</v>
      </c>
      <c r="J32" s="20">
        <f t="shared" si="6"/>
        <v>0.13018764846545405</v>
      </c>
      <c r="K32" s="20">
        <f t="shared" si="6"/>
        <v>0.10573738423943269</v>
      </c>
      <c r="L32" s="20">
        <f t="shared" si="6"/>
        <v>8.060631259022788E-2</v>
      </c>
      <c r="M32" s="20">
        <f t="shared" si="6"/>
        <v>8.1945988798186375E-2</v>
      </c>
      <c r="N32" s="20">
        <f t="shared" si="6"/>
        <v>5.6059073350905209E-2</v>
      </c>
      <c r="O32" s="20">
        <f t="shared" si="6"/>
        <v>3.0000000000000249E-2</v>
      </c>
    </row>
    <row r="33" spans="1:15" x14ac:dyDescent="0.2">
      <c r="A33" t="s">
        <v>202</v>
      </c>
      <c r="C33" s="64" cm="1">
        <f t="array" ref="C33:E33">'Consolidated Income Stmt'!B8:D8</f>
        <v>854.00099999999998</v>
      </c>
      <c r="D33" s="64">
        <v>926.45100000000002</v>
      </c>
      <c r="E33" s="64">
        <v>1044.566</v>
      </c>
      <c r="F33" s="39">
        <f>'Operating model'!F17*Estimates!F34</f>
        <v>1266</v>
      </c>
      <c r="G33" s="39">
        <f>'Operating model'!G17*Estimates!G34</f>
        <v>1594.7366232808704</v>
      </c>
      <c r="H33" s="39">
        <f>'Operating model'!H17*Estimates!H34</f>
        <v>1891.4619553175896</v>
      </c>
      <c r="I33" s="39">
        <f>'Operating model'!I17*Estimates!I34</f>
        <v>2150.0879728294908</v>
      </c>
      <c r="J33" s="39">
        <f>'Operating model'!J17*Estimates!J34</f>
        <v>2378.1297884950777</v>
      </c>
      <c r="K33" s="39">
        <f>'Operating model'!K17*Estimates!K34</f>
        <v>2569.4415143958331</v>
      </c>
      <c r="L33" s="39">
        <f>'Operating model'!L17*Estimates!L34</f>
        <v>2708.3238868916433</v>
      </c>
      <c r="M33" s="39">
        <f>'Operating model'!M17*Estimates!M34</f>
        <v>2930.2601657887267</v>
      </c>
      <c r="N33" s="39">
        <f>'Operating model'!N17*Estimates!N34</f>
        <v>3094.5278353599128</v>
      </c>
      <c r="O33" s="39">
        <f>'Operating model'!O17*Estimates!O34</f>
        <v>3187.3636704207106</v>
      </c>
    </row>
    <row r="34" spans="1:15" s="16" customFormat="1" x14ac:dyDescent="0.2">
      <c r="A34" s="20" t="s">
        <v>204</v>
      </c>
      <c r="B34" s="20"/>
      <c r="C34" s="20">
        <f>C33/C23</f>
        <v>0.18140560716852944</v>
      </c>
      <c r="D34" s="20">
        <f>D33/D23</f>
        <v>0.15945484727927073</v>
      </c>
      <c r="E34" s="20">
        <f>E33/E23</f>
        <v>0.14674619822114668</v>
      </c>
      <c r="F34" s="58">
        <v>0.12</v>
      </c>
      <c r="G34" s="40">
        <f>$F$34+($L$34-$F$34)*(G$21-$F$21)/($L$21-$F$21)</f>
        <v>0.11533333333333333</v>
      </c>
      <c r="H34" s="40">
        <f t="shared" ref="H34:J34" si="7">$F$34+($L$34-$F$34)*(H$21-$F$21)/($L$21-$F$21)</f>
        <v>0.11066666666666666</v>
      </c>
      <c r="I34" s="40">
        <f t="shared" si="7"/>
        <v>0.106</v>
      </c>
      <c r="J34" s="40">
        <f t="shared" si="7"/>
        <v>0.10133333333333333</v>
      </c>
      <c r="K34" s="40">
        <f>$F$34+($L$34-$F$34)*(K$21-$F$21)/($L$21-$F$21)</f>
        <v>9.6666666666666665E-2</v>
      </c>
      <c r="L34" s="40">
        <f>Scenarios!$E$13</f>
        <v>9.1999999999999998E-2</v>
      </c>
      <c r="M34" s="20">
        <f>L34</f>
        <v>9.1999999999999998E-2</v>
      </c>
      <c r="N34" s="20">
        <f>M34</f>
        <v>9.1999999999999998E-2</v>
      </c>
      <c r="O34" s="20">
        <f>N34</f>
        <v>9.1999999999999998E-2</v>
      </c>
    </row>
    <row r="35" spans="1:15" s="16" customFormat="1" x14ac:dyDescent="0.2">
      <c r="A35" s="20" t="s">
        <v>3</v>
      </c>
      <c r="B35" s="20"/>
      <c r="C35" s="20"/>
      <c r="D35" s="20">
        <f t="shared" ref="D35:O35" si="8">D33/C33-1</f>
        <v>8.483596623423173E-2</v>
      </c>
      <c r="E35" s="20">
        <f t="shared" si="8"/>
        <v>0.12749190189227488</v>
      </c>
      <c r="F35" s="20">
        <f t="shared" si="8"/>
        <v>0.21198660496320954</v>
      </c>
      <c r="G35" s="20">
        <f t="shared" si="8"/>
        <v>0.25966557921079803</v>
      </c>
      <c r="H35" s="20">
        <f t="shared" si="8"/>
        <v>0.18606541525726228</v>
      </c>
      <c r="I35" s="20">
        <f t="shared" si="8"/>
        <v>0.13673339650570782</v>
      </c>
      <c r="J35" s="20">
        <f t="shared" si="8"/>
        <v>0.10606162098822702</v>
      </c>
      <c r="K35" s="20">
        <f t="shared" si="8"/>
        <v>8.0446293060321583E-2</v>
      </c>
      <c r="L35" s="20">
        <f t="shared" si="8"/>
        <v>5.4051579581668951E-2</v>
      </c>
      <c r="M35" s="20">
        <f t="shared" si="8"/>
        <v>8.1945988798186375E-2</v>
      </c>
      <c r="N35" s="20">
        <f t="shared" si="8"/>
        <v>5.6059073350905209E-2</v>
      </c>
      <c r="O35" s="20">
        <f t="shared" si="8"/>
        <v>3.0000000000000027E-2</v>
      </c>
    </row>
    <row r="36" spans="1:15" x14ac:dyDescent="0.2">
      <c r="A36" t="s">
        <v>203</v>
      </c>
      <c r="C36">
        <f>SUM('Consolidated Income Stmt'!B9:B11)</f>
        <v>27.053999999999998</v>
      </c>
      <c r="D36">
        <f>SUM('Consolidated Income Stmt'!C9:C11)</f>
        <v>245.06899999999999</v>
      </c>
      <c r="E36">
        <f>SUM('Consolidated Income Stmt'!D9:D11)</f>
        <v>3.6610000000000014</v>
      </c>
      <c r="F36" s="41">
        <v>80</v>
      </c>
      <c r="G36" s="41">
        <v>60</v>
      </c>
      <c r="H36" s="41">
        <v>40</v>
      </c>
      <c r="I36" s="41">
        <v>20</v>
      </c>
      <c r="J36" s="41">
        <v>0</v>
      </c>
      <c r="K36" s="39">
        <f>J36</f>
        <v>0</v>
      </c>
      <c r="L36" s="39">
        <f>K36</f>
        <v>0</v>
      </c>
      <c r="M36" s="39">
        <f>L36</f>
        <v>0</v>
      </c>
      <c r="N36" s="39">
        <f>M36</f>
        <v>0</v>
      </c>
      <c r="O36" s="39">
        <f>N36</f>
        <v>0</v>
      </c>
    </row>
    <row r="37" spans="1:15" s="16" customFormat="1" x14ac:dyDescent="0.2">
      <c r="A37" s="20" t="s">
        <v>204</v>
      </c>
      <c r="B37" s="20"/>
      <c r="C37" s="20">
        <f>C36/C23</f>
        <v>5.7467699643646728E-3</v>
      </c>
      <c r="D37" s="20">
        <f>D36/D23</f>
        <v>4.217971589202623E-2</v>
      </c>
      <c r="E37" s="20">
        <f>E36/E23</f>
        <v>5.143167896404997E-4</v>
      </c>
      <c r="F37" s="20"/>
      <c r="G37" s="20"/>
      <c r="H37" s="20"/>
      <c r="I37" s="20"/>
      <c r="J37" s="20"/>
      <c r="K37" s="20"/>
      <c r="L37" s="20"/>
      <c r="M37" s="20"/>
      <c r="N37" s="20"/>
      <c r="O37" s="20"/>
    </row>
    <row r="38" spans="1:15" s="16" customFormat="1" x14ac:dyDescent="0.2">
      <c r="A38" s="20" t="s">
        <v>3</v>
      </c>
      <c r="B38" s="20"/>
      <c r="C38" s="20"/>
      <c r="D38" s="20">
        <f t="shared" ref="D38:J38" si="9">D36/C36-1</f>
        <v>8.0585126044207875</v>
      </c>
      <c r="E38" s="20">
        <f t="shared" si="9"/>
        <v>-0.98506135006875617</v>
      </c>
      <c r="F38" s="20">
        <f t="shared" si="9"/>
        <v>20.851953018301003</v>
      </c>
      <c r="G38" s="20">
        <f t="shared" si="9"/>
        <v>-0.25</v>
      </c>
      <c r="H38" s="20">
        <f t="shared" si="9"/>
        <v>-0.33333333333333337</v>
      </c>
      <c r="I38" s="20">
        <f t="shared" si="9"/>
        <v>-0.5</v>
      </c>
      <c r="J38" s="20">
        <f t="shared" si="9"/>
        <v>-1</v>
      </c>
      <c r="K38" s="20"/>
      <c r="L38" s="20"/>
      <c r="M38" s="20"/>
      <c r="N38" s="20"/>
      <c r="O38" s="20"/>
    </row>
    <row r="39" spans="1:15" x14ac:dyDescent="0.2">
      <c r="A39" s="42" t="s">
        <v>151</v>
      </c>
      <c r="C39" s="69">
        <f>'Operating model'!C22</f>
        <v>96.120999999999952</v>
      </c>
      <c r="D39" s="69">
        <f>'Operating model'!D22</f>
        <v>289.87799999999964</v>
      </c>
      <c r="E39" s="69">
        <f>'Operating model'!E22</f>
        <v>897.86099999999999</v>
      </c>
      <c r="F39" s="44">
        <f t="shared" ref="F39:O39" si="10">F27-F30-F33-F36</f>
        <v>1671.3000000000002</v>
      </c>
      <c r="G39" s="44">
        <f t="shared" si="10"/>
        <v>2465.7678310922461</v>
      </c>
      <c r="H39" s="44">
        <f t="shared" si="10"/>
        <v>3366.9103893973461</v>
      </c>
      <c r="I39" s="44">
        <f t="shared" si="10"/>
        <v>4361.3113408600948</v>
      </c>
      <c r="J39" s="44">
        <f t="shared" si="10"/>
        <v>5460.311159110408</v>
      </c>
      <c r="K39" s="44">
        <f t="shared" si="10"/>
        <v>6627.3870785106328</v>
      </c>
      <c r="L39" s="44">
        <f t="shared" si="10"/>
        <v>7830.5886294910561</v>
      </c>
      <c r="M39" s="44">
        <f t="shared" si="10"/>
        <v>8472.2739576065378</v>
      </c>
      <c r="N39" s="44">
        <f t="shared" si="10"/>
        <v>8947.2217848449654</v>
      </c>
      <c r="O39" s="44">
        <f t="shared" si="10"/>
        <v>9215.6384383903151</v>
      </c>
    </row>
    <row r="40" spans="1:15" x14ac:dyDescent="0.2">
      <c r="A40" s="30" t="s">
        <v>206</v>
      </c>
      <c r="C40" s="29">
        <f>C39/C23</f>
        <v>2.0417878160149939E-2</v>
      </c>
      <c r="D40" s="29">
        <f t="shared" ref="D40:E40" si="11">D39/D23</f>
        <v>4.989195566697039E-2</v>
      </c>
      <c r="E40" s="29">
        <f t="shared" si="11"/>
        <v>0.12613629802332929</v>
      </c>
      <c r="F40" s="29">
        <f>F39/'Operating model'!F17</f>
        <v>0.15841706161137442</v>
      </c>
      <c r="G40" s="29">
        <f>G39/'Operating model'!G17</f>
        <v>0.1783273921438534</v>
      </c>
      <c r="H40" s="29">
        <f>H39/'Operating model'!H17</f>
        <v>0.19699299196182352</v>
      </c>
      <c r="I40" s="29">
        <f>I39/'Operating model'!I17</f>
        <v>0.21501399383337322</v>
      </c>
      <c r="J40" s="29">
        <f>J39/'Operating model'!J17</f>
        <v>0.23266666666666666</v>
      </c>
      <c r="K40" s="29">
        <f>K39/'Operating model'!K17</f>
        <v>0.24933333333333338</v>
      </c>
      <c r="L40" s="29">
        <f>L39/'Operating model'!L17</f>
        <v>0.26600000000000001</v>
      </c>
      <c r="M40" s="29">
        <f>M39/'Operating model'!M17</f>
        <v>0.26600000000000007</v>
      </c>
      <c r="N40" s="29">
        <f>N39/'Operating model'!N17</f>
        <v>0.26600000000000001</v>
      </c>
      <c r="O40" s="29">
        <f>O39/'Operating model'!O17</f>
        <v>0.26599999999999996</v>
      </c>
    </row>
    <row r="43" spans="1:15" x14ac:dyDescent="0.2">
      <c r="A43" s="12" t="s">
        <v>159</v>
      </c>
      <c r="B43" s="13"/>
      <c r="C43" s="13">
        <v>2024</v>
      </c>
      <c r="D43" s="13">
        <v>2025</v>
      </c>
      <c r="E43" s="13">
        <v>2026</v>
      </c>
      <c r="F43" s="14">
        <f t="shared" ref="F43" si="12">E43+1</f>
        <v>2027</v>
      </c>
      <c r="G43" s="14">
        <f t="shared" ref="G43" si="13">F43+1</f>
        <v>2028</v>
      </c>
      <c r="H43" s="14">
        <f t="shared" ref="H43" si="14">G43+1</f>
        <v>2029</v>
      </c>
      <c r="I43" s="14">
        <f t="shared" ref="I43" si="15">H43+1</f>
        <v>2030</v>
      </c>
      <c r="J43" s="14">
        <f t="shared" ref="J43" si="16">I43+1</f>
        <v>2031</v>
      </c>
      <c r="K43" s="14">
        <f t="shared" ref="K43" si="17">J43+1</f>
        <v>2032</v>
      </c>
      <c r="L43" s="14">
        <f t="shared" ref="L43" si="18">K43+1</f>
        <v>2033</v>
      </c>
      <c r="M43" s="14">
        <f t="shared" ref="M43" si="19">L43+1</f>
        <v>2034</v>
      </c>
      <c r="N43" s="14">
        <f t="shared" ref="N43" si="20">M43+1</f>
        <v>2035</v>
      </c>
      <c r="O43" s="14">
        <f t="shared" ref="O43" si="21">N43+1</f>
        <v>2036</v>
      </c>
    </row>
    <row r="45" spans="1:15" x14ac:dyDescent="0.2">
      <c r="A45" t="s">
        <v>159</v>
      </c>
      <c r="C45" s="80">
        <f>'Operating model'!C47</f>
        <v>-346.81599999999997</v>
      </c>
      <c r="D45" s="80">
        <f>'Operating model'!D47</f>
        <v>-440.83600000000001</v>
      </c>
      <c r="E45" s="80">
        <f>'Operating model'!E47</f>
        <v>-1102.9090000000001</v>
      </c>
      <c r="F45" s="39">
        <f>-'Operating model'!F17*Estimates!F46</f>
        <v>-2637.5</v>
      </c>
      <c r="G45" s="39">
        <f>-'Operating model'!G17*Estimates!G46</f>
        <v>-3180.2551157913313</v>
      </c>
      <c r="H45" s="39">
        <f xml:space="preserve"> -(H55 + ('Operating model'!H17-'Operating model'!G17)/$O$48)</f>
        <v>-2552.2826149770726</v>
      </c>
      <c r="I45" s="39">
        <f xml:space="preserve"> -(I55 + ('Operating model'!I17-'Operating model'!H17)/$O$48)</f>
        <v>-2717.9909969708101</v>
      </c>
      <c r="J45" s="39">
        <f xml:space="preserve"> -(J55 + ('Operating model'!J17-'Operating model'!I17)/$O$48)</f>
        <v>-2909.866389984365</v>
      </c>
      <c r="K45" s="39">
        <f xml:space="preserve"> -(K55 + ('Operating model'!K17-'Operating model'!J17)/$O$48)</f>
        <v>-3070.4522441259342</v>
      </c>
      <c r="L45" s="39">
        <f xml:space="preserve"> -(L55 + ('Operating model'!L17-'Operating model'!K17)/$O$48)</f>
        <v>-3140.0843139068234</v>
      </c>
      <c r="M45" s="39">
        <f xml:space="preserve"> -(M55 + ('Operating model'!M17-'Operating model'!L17)/$O$48)</f>
        <v>-3103.0236798836409</v>
      </c>
      <c r="N45" s="39">
        <f xml:space="preserve"> -(N55 + ('Operating model'!N17-'Operating model'!M17)/$O$48)</f>
        <v>-2952.3291899316614</v>
      </c>
      <c r="O45" s="39">
        <f>-(O50-O86+O55)</f>
        <v>-2878.4087918831242</v>
      </c>
    </row>
    <row r="46" spans="1:15" x14ac:dyDescent="0.2">
      <c r="A46" t="s">
        <v>2</v>
      </c>
      <c r="C46" s="40">
        <f>'Operating model'!C49</f>
        <v>7.3670132770056129E-2</v>
      </c>
      <c r="D46" s="40">
        <f>'Operating model'!D49</f>
        <v>7.5873885456656201E-2</v>
      </c>
      <c r="E46" s="40">
        <f>'Operating model'!E49</f>
        <v>0.15494253377372677</v>
      </c>
      <c r="F46" s="43">
        <v>0.25</v>
      </c>
      <c r="G46" s="43">
        <v>0.23</v>
      </c>
      <c r="H46" s="40">
        <f>-H45/'Operating model'!H17</f>
        <v>0.14933031489040458</v>
      </c>
      <c r="I46" s="40">
        <f>-I45/'Operating model'!I17</f>
        <v>0.13399779419246755</v>
      </c>
      <c r="J46" s="40">
        <f>-J45/'Operating model'!J17</f>
        <v>0.12399090338898017</v>
      </c>
      <c r="K46" s="40">
        <f>-K45/'Operating model'!K17</f>
        <v>0.11551552426311247</v>
      </c>
      <c r="L46" s="40">
        <f>-L45/'Operating model'!L17</f>
        <v>0.10666662073825507</v>
      </c>
      <c r="M46" s="40">
        <f>-M45/'Operating model'!M17</f>
        <v>9.7424174782259954E-2</v>
      </c>
      <c r="N46" s="40">
        <f>-N45/'Operating model'!N17</f>
        <v>8.7772448633386554E-2</v>
      </c>
      <c r="O46" s="40">
        <f>-O45/'Operating model'!O17</f>
        <v>8.3082332684771359E-2</v>
      </c>
    </row>
    <row r="48" spans="1:15" x14ac:dyDescent="0.2">
      <c r="A48" t="s">
        <v>238</v>
      </c>
      <c r="O48">
        <v>2.1</v>
      </c>
    </row>
    <row r="49" spans="1:15" x14ac:dyDescent="0.2">
      <c r="A49" t="s">
        <v>236</v>
      </c>
      <c r="O49" s="40">
        <f>'Operating model'!C3/'Operating model'!C4</f>
        <v>0.13032138377210853</v>
      </c>
    </row>
    <row r="50" spans="1:15" x14ac:dyDescent="0.2">
      <c r="A50" t="s">
        <v>237</v>
      </c>
      <c r="O50" s="39">
        <f>O49*DCF!O16</f>
        <v>948.78585537122274</v>
      </c>
    </row>
    <row r="53" spans="1:15" x14ac:dyDescent="0.2">
      <c r="A53" s="12" t="s">
        <v>155</v>
      </c>
      <c r="B53" s="13"/>
      <c r="C53" s="13">
        <v>2024</v>
      </c>
      <c r="D53" s="13">
        <v>2025</v>
      </c>
      <c r="E53" s="13">
        <v>2026</v>
      </c>
      <c r="F53" s="14">
        <f t="shared" ref="F53" si="22">E53+1</f>
        <v>2027</v>
      </c>
      <c r="G53" s="14">
        <f t="shared" ref="G53" si="23">F53+1</f>
        <v>2028</v>
      </c>
      <c r="H53" s="14">
        <f t="shared" ref="H53" si="24">G53+1</f>
        <v>2029</v>
      </c>
      <c r="I53" s="14">
        <f t="shared" ref="I53" si="25">H53+1</f>
        <v>2030</v>
      </c>
      <c r="J53" s="14">
        <f t="shared" ref="J53" si="26">I53+1</f>
        <v>2031</v>
      </c>
      <c r="K53" s="14">
        <f t="shared" ref="K53" si="27">J53+1</f>
        <v>2032</v>
      </c>
      <c r="L53" s="14">
        <f t="shared" ref="L53" si="28">K53+1</f>
        <v>2033</v>
      </c>
      <c r="M53" s="14">
        <f t="shared" ref="M53" si="29">L53+1</f>
        <v>2034</v>
      </c>
      <c r="N53" s="14">
        <f t="shared" ref="N53" si="30">M53+1</f>
        <v>2035</v>
      </c>
      <c r="O53" s="14">
        <f t="shared" ref="O53" si="31">N53+1</f>
        <v>2036</v>
      </c>
    </row>
    <row r="55" spans="1:15" x14ac:dyDescent="0.2">
      <c r="A55" t="s">
        <v>76</v>
      </c>
      <c r="C55" s="105">
        <f>'Consolidated Cash Flow'!B7</f>
        <v>271.601</v>
      </c>
      <c r="D55" s="105">
        <f>'Consolidated Cash Flow'!C7</f>
        <v>250.81</v>
      </c>
      <c r="E55" s="105">
        <f>'Consolidated Cash Flow'!D7</f>
        <v>241.56100000000001</v>
      </c>
      <c r="F55" s="39">
        <f t="shared" ref="F55:O55" si="32">$E$57*E56</f>
        <v>385.89698702747842</v>
      </c>
      <c r="G55" s="39">
        <f t="shared" si="32"/>
        <v>675.58936922187513</v>
      </c>
      <c r="H55" s="39">
        <f t="shared" si="32"/>
        <v>997.84093068452989</v>
      </c>
      <c r="I55" s="39">
        <f t="shared" si="32"/>
        <v>1197.8361838044336</v>
      </c>
      <c r="J55" s="39">
        <f t="shared" si="32"/>
        <v>1393.4200707477489</v>
      </c>
      <c r="K55" s="39">
        <f t="shared" si="32"/>
        <v>1588.5268209868245</v>
      </c>
      <c r="L55" s="39">
        <f t="shared" si="32"/>
        <v>1779.1920952781622</v>
      </c>
      <c r="M55" s="39">
        <f t="shared" si="32"/>
        <v>1954.2851762755477</v>
      </c>
      <c r="N55" s="39">
        <f t="shared" si="32"/>
        <v>2102.0824530207606</v>
      </c>
      <c r="O55" s="39">
        <f t="shared" si="32"/>
        <v>2211.4756281273967</v>
      </c>
    </row>
    <row r="56" spans="1:15" x14ac:dyDescent="0.2">
      <c r="A56" t="s">
        <v>207</v>
      </c>
      <c r="C56" s="79">
        <v>1817.2589999999998</v>
      </c>
      <c r="D56" s="64">
        <f>'Consolidated Balance Sheet'!B14</f>
        <v>1877.5070000000001</v>
      </c>
      <c r="E56" s="64">
        <f>'Consolidated Balance Sheet'!C14</f>
        <v>2999.3429999999998</v>
      </c>
      <c r="F56" s="39">
        <f>E56-'Operating model'!F47-Estimates!F55</f>
        <v>5250.9460129725212</v>
      </c>
      <c r="G56" s="39">
        <f>F56-'Operating model'!G47-Estimates!G55</f>
        <v>7755.6117595419773</v>
      </c>
      <c r="H56" s="39">
        <f>G56-'Operating model'!H47-Estimates!H55</f>
        <v>9310.0534438345203</v>
      </c>
      <c r="I56" s="39">
        <f>H56-'Operating model'!I47-Estimates!I55</f>
        <v>10830.208257000897</v>
      </c>
      <c r="J56" s="39">
        <f>I56-'Operating model'!J47-Estimates!J55</f>
        <v>12346.654576237514</v>
      </c>
      <c r="K56" s="39">
        <f>J56-'Operating model'!K47-Estimates!K55</f>
        <v>13828.579999376623</v>
      </c>
      <c r="L56" s="39">
        <f>K56-'Operating model'!L47-Estimates!L55</f>
        <v>15189.472218005285</v>
      </c>
      <c r="M56" s="39">
        <f>L56-'Operating model'!M47-Estimates!M55</f>
        <v>16338.210721613379</v>
      </c>
      <c r="N56" s="39">
        <f>M56-'Operating model'!N47-Estimates!N55</f>
        <v>17188.457458524281</v>
      </c>
      <c r="O56" s="39">
        <f>N56-'Operating model'!O47-Estimates!O55</f>
        <v>17855.390622280007</v>
      </c>
    </row>
    <row r="57" spans="1:15" x14ac:dyDescent="0.2">
      <c r="A57" t="s">
        <v>212</v>
      </c>
      <c r="D57" s="40">
        <f>D55/C56</f>
        <v>0.1380155497922971</v>
      </c>
      <c r="E57" s="40">
        <f>E55/D56</f>
        <v>0.128660505659899</v>
      </c>
      <c r="F57" s="40">
        <f t="shared" ref="F57:O57" si="33">F55/E56</f>
        <v>0.128660505659899</v>
      </c>
      <c r="G57" s="40">
        <f t="shared" si="33"/>
        <v>0.128660505659899</v>
      </c>
      <c r="H57" s="40">
        <f t="shared" si="33"/>
        <v>0.128660505659899</v>
      </c>
      <c r="I57" s="40">
        <f t="shared" si="33"/>
        <v>0.128660505659899</v>
      </c>
      <c r="J57" s="40">
        <f t="shared" si="33"/>
        <v>0.128660505659899</v>
      </c>
      <c r="K57" s="40">
        <f t="shared" si="33"/>
        <v>0.128660505659899</v>
      </c>
      <c r="L57" s="40">
        <f t="shared" si="33"/>
        <v>0.128660505659899</v>
      </c>
      <c r="M57" s="40">
        <f t="shared" si="33"/>
        <v>0.128660505659899</v>
      </c>
      <c r="N57" s="40">
        <f t="shared" si="33"/>
        <v>0.128660505659899</v>
      </c>
      <c r="O57" s="40">
        <f t="shared" si="33"/>
        <v>0.128660505659899</v>
      </c>
    </row>
    <row r="59" spans="1:15" x14ac:dyDescent="0.2">
      <c r="A59" t="s">
        <v>77</v>
      </c>
      <c r="F59" s="41">
        <v>277.27300000000002</v>
      </c>
      <c r="G59" s="41">
        <v>242.596</v>
      </c>
      <c r="H59" s="41">
        <v>257.005</v>
      </c>
      <c r="I59" s="41">
        <v>251.941</v>
      </c>
      <c r="J59" s="41">
        <v>240.404</v>
      </c>
      <c r="K59" s="39">
        <f>$J$60/5</f>
        <v>237.05100000000002</v>
      </c>
      <c r="L59" s="39">
        <f t="shared" ref="L59:O59" si="34">$J$60/5</f>
        <v>237.05100000000002</v>
      </c>
      <c r="M59" s="39">
        <f t="shared" si="34"/>
        <v>237.05100000000002</v>
      </c>
      <c r="N59" s="39">
        <f t="shared" si="34"/>
        <v>237.05100000000002</v>
      </c>
      <c r="O59" s="39">
        <f t="shared" si="34"/>
        <v>237.05100000000002</v>
      </c>
    </row>
    <row r="60" spans="1:15" x14ac:dyDescent="0.2">
      <c r="A60" t="s">
        <v>213</v>
      </c>
      <c r="J60" s="39">
        <f>2454.474-SUM(F59:J59)</f>
        <v>1185.2550000000001</v>
      </c>
    </row>
    <row r="61" spans="1:15" x14ac:dyDescent="0.2">
      <c r="A61" t="s">
        <v>214</v>
      </c>
      <c r="J61" s="39">
        <f>J60/J59</f>
        <v>4.9302632235736512</v>
      </c>
    </row>
    <row r="63" spans="1:15" x14ac:dyDescent="0.2">
      <c r="A63" s="42" t="s">
        <v>155</v>
      </c>
      <c r="F63" s="44">
        <f>F55+F59</f>
        <v>663.16998702747844</v>
      </c>
      <c r="G63" s="44">
        <f t="shared" ref="G63:O63" si="35">G55+G59</f>
        <v>918.18536922187513</v>
      </c>
      <c r="H63" s="44">
        <f t="shared" si="35"/>
        <v>1254.8459306845298</v>
      </c>
      <c r="I63" s="44">
        <f t="shared" si="35"/>
        <v>1449.7771838044337</v>
      </c>
      <c r="J63" s="44">
        <f t="shared" si="35"/>
        <v>1633.8240707477489</v>
      </c>
      <c r="K63" s="44">
        <f t="shared" si="35"/>
        <v>1825.5778209868245</v>
      </c>
      <c r="L63" s="44">
        <f t="shared" si="35"/>
        <v>2016.2430952781622</v>
      </c>
      <c r="M63" s="44">
        <f t="shared" si="35"/>
        <v>2191.3361762755476</v>
      </c>
      <c r="N63" s="44">
        <f t="shared" si="35"/>
        <v>2339.1334530207605</v>
      </c>
      <c r="O63" s="44">
        <f t="shared" si="35"/>
        <v>2448.5266281273966</v>
      </c>
    </row>
    <row r="66" spans="1:15" x14ac:dyDescent="0.2">
      <c r="A66" s="12" t="s">
        <v>161</v>
      </c>
      <c r="B66" s="13"/>
      <c r="C66" s="13">
        <v>2024</v>
      </c>
      <c r="D66" s="13">
        <v>2025</v>
      </c>
      <c r="E66" s="13">
        <v>2026</v>
      </c>
      <c r="F66" s="14">
        <f t="shared" ref="F66" si="36">E66+1</f>
        <v>2027</v>
      </c>
      <c r="G66" s="14">
        <f t="shared" ref="G66" si="37">F66+1</f>
        <v>2028</v>
      </c>
      <c r="H66" s="14">
        <f t="shared" ref="H66" si="38">G66+1</f>
        <v>2029</v>
      </c>
      <c r="I66" s="14">
        <f t="shared" ref="I66" si="39">H66+1</f>
        <v>2030</v>
      </c>
      <c r="J66" s="14">
        <f t="shared" ref="J66" si="40">I66+1</f>
        <v>2031</v>
      </c>
      <c r="K66" s="14">
        <f t="shared" ref="K66" si="41">J66+1</f>
        <v>2032</v>
      </c>
      <c r="L66" s="14">
        <f t="shared" ref="L66" si="42">K66+1</f>
        <v>2033</v>
      </c>
      <c r="M66" s="14">
        <f t="shared" ref="M66" si="43">L66+1</f>
        <v>2034</v>
      </c>
      <c r="N66" s="14">
        <f t="shared" ref="N66" si="44">M66+1</f>
        <v>2035</v>
      </c>
      <c r="O66" s="14">
        <f t="shared" ref="O66" si="45">N66+1</f>
        <v>2036</v>
      </c>
    </row>
    <row r="68" spans="1:15" x14ac:dyDescent="0.2">
      <c r="A68" t="s">
        <v>215</v>
      </c>
      <c r="C68" s="39">
        <f>(848.542/'Consolidated Income Stmt'!B4)*365</f>
        <v>65.789795330531675</v>
      </c>
      <c r="D68" s="39">
        <f>('Consolidated Balance Sheet'!B9/'Consolidated Income Stmt'!C4)*365</f>
        <v>60.563106754341355</v>
      </c>
      <c r="E68" s="39">
        <f>('Consolidated Balance Sheet'!C9/'Consolidated Income Stmt'!D4)*365</f>
        <v>68.879460918456559</v>
      </c>
      <c r="F68" s="41">
        <v>65</v>
      </c>
      <c r="G68" s="39">
        <f t="shared" ref="G68:O68" si="46">F68</f>
        <v>65</v>
      </c>
      <c r="H68" s="39">
        <f t="shared" si="46"/>
        <v>65</v>
      </c>
      <c r="I68" s="39">
        <f t="shared" si="46"/>
        <v>65</v>
      </c>
      <c r="J68" s="39">
        <f t="shared" si="46"/>
        <v>65</v>
      </c>
      <c r="K68" s="39">
        <f t="shared" si="46"/>
        <v>65</v>
      </c>
      <c r="L68" s="39">
        <f t="shared" si="46"/>
        <v>65</v>
      </c>
      <c r="M68" s="39">
        <f t="shared" si="46"/>
        <v>65</v>
      </c>
      <c r="N68" s="39">
        <f t="shared" si="46"/>
        <v>65</v>
      </c>
      <c r="O68" s="39">
        <f t="shared" si="46"/>
        <v>65</v>
      </c>
    </row>
    <row r="69" spans="1:15" x14ac:dyDescent="0.2">
      <c r="A69" t="s">
        <v>216</v>
      </c>
      <c r="C69" s="39">
        <f>(1286.404/'Consolidated Income Stmt'!B6)*365</f>
        <v>144.39646784290426</v>
      </c>
      <c r="D69" s="39">
        <f>('Consolidated Balance Sheet'!B10/'Consolidated Income Stmt'!C6)*365</f>
        <v>139.30607283171653</v>
      </c>
      <c r="E69" s="39">
        <f>('Consolidated Balance Sheet'!C10/'Consolidated Income Stmt'!D6)*365</f>
        <v>211.74440077309308</v>
      </c>
      <c r="F69" s="41">
        <v>180</v>
      </c>
      <c r="G69" s="39">
        <f t="shared" ref="G69:O69" si="47">F69</f>
        <v>180</v>
      </c>
      <c r="H69" s="39">
        <f t="shared" si="47"/>
        <v>180</v>
      </c>
      <c r="I69" s="39">
        <f t="shared" si="47"/>
        <v>180</v>
      </c>
      <c r="J69" s="39">
        <f t="shared" si="47"/>
        <v>180</v>
      </c>
      <c r="K69" s="39">
        <f t="shared" si="47"/>
        <v>180</v>
      </c>
      <c r="L69" s="39">
        <f t="shared" si="47"/>
        <v>180</v>
      </c>
      <c r="M69" s="39">
        <f t="shared" si="47"/>
        <v>180</v>
      </c>
      <c r="N69" s="39">
        <f t="shared" si="47"/>
        <v>180</v>
      </c>
      <c r="O69" s="39">
        <f t="shared" si="47"/>
        <v>180</v>
      </c>
    </row>
    <row r="70" spans="1:15" x14ac:dyDescent="0.2">
      <c r="A70" t="s">
        <v>217</v>
      </c>
      <c r="C70" s="39">
        <f>(631.548-63.286)/'Consolidated Income Stmt'!B6*365</f>
        <v>63.786357636748988</v>
      </c>
      <c r="D70" s="39">
        <f>('Consolidated Balance Sheet'!B24-'Consolidated Cash Flow'!C61)/'Consolidated Income Stmt'!C6*365</f>
        <v>75.565838101536244</v>
      </c>
      <c r="E70" s="39">
        <f xml:space="preserve"> ('Consolidated Balance Sheet'!C24-'Consolidated Cash Flow'!D61)/'Consolidated Income Stmt'!D6*365</f>
        <v>125.81214441169655</v>
      </c>
      <c r="F70" s="41">
        <v>120</v>
      </c>
      <c r="G70" s="39">
        <f>F70</f>
        <v>120</v>
      </c>
      <c r="H70" s="39">
        <f t="shared" ref="H70:O70" si="48">G70</f>
        <v>120</v>
      </c>
      <c r="I70" s="39">
        <f t="shared" si="48"/>
        <v>120</v>
      </c>
      <c r="J70" s="39">
        <f t="shared" si="48"/>
        <v>120</v>
      </c>
      <c r="K70" s="39">
        <f t="shared" si="48"/>
        <v>120</v>
      </c>
      <c r="L70" s="39">
        <f t="shared" si="48"/>
        <v>120</v>
      </c>
      <c r="M70" s="39">
        <f t="shared" si="48"/>
        <v>120</v>
      </c>
      <c r="N70" s="39">
        <f t="shared" si="48"/>
        <v>120</v>
      </c>
      <c r="O70" s="39">
        <f t="shared" si="48"/>
        <v>120</v>
      </c>
    </row>
    <row r="71" spans="1:15" x14ac:dyDescent="0.2">
      <c r="A71" t="s">
        <v>218</v>
      </c>
      <c r="C71" s="40">
        <f>389.203/'Consolidated Income Stmt'!B4</f>
        <v>8.2673915518615498E-2</v>
      </c>
      <c r="D71" s="40">
        <f>'Consolidated Balance Sheet'!B12/'Consolidated Income Stmt'!C4</f>
        <v>9.4937363546160447E-2</v>
      </c>
      <c r="E71" s="40">
        <f>'Consolidated Balance Sheet'!C12/'Consolidated Income Stmt'!D4</f>
        <v>0.12645253049901373</v>
      </c>
      <c r="F71" s="43">
        <v>0.11</v>
      </c>
      <c r="G71" s="40">
        <f>F71</f>
        <v>0.11</v>
      </c>
      <c r="H71" s="40">
        <f t="shared" ref="H71:O73" si="49">G71</f>
        <v>0.11</v>
      </c>
      <c r="I71" s="40">
        <f t="shared" si="49"/>
        <v>0.11</v>
      </c>
      <c r="J71" s="40">
        <f t="shared" si="49"/>
        <v>0.11</v>
      </c>
      <c r="K71" s="40">
        <f t="shared" si="49"/>
        <v>0.11</v>
      </c>
      <c r="L71" s="40">
        <f t="shared" si="49"/>
        <v>0.11</v>
      </c>
      <c r="M71" s="40">
        <f t="shared" si="49"/>
        <v>0.11</v>
      </c>
      <c r="N71" s="40">
        <f t="shared" si="49"/>
        <v>0.11</v>
      </c>
      <c r="O71" s="40">
        <f t="shared" si="49"/>
        <v>0.11</v>
      </c>
    </row>
    <row r="72" spans="1:15" x14ac:dyDescent="0.2">
      <c r="A72" t="s">
        <v>219</v>
      </c>
      <c r="C72" s="40">
        <f>212.458/'Consolidated Income Stmt'!B4</f>
        <v>4.5130008615694155E-2</v>
      </c>
      <c r="D72" s="40">
        <f>'Consolidated Balance Sheet'!B25/'Consolidated Income Stmt'!C4</f>
        <v>4.4517191139934402E-2</v>
      </c>
      <c r="E72" s="40">
        <f>'Consolidated Balance Sheet'!C25/'Consolidated Income Stmt'!D4</f>
        <v>5.0300350609235711E-2</v>
      </c>
      <c r="F72" s="43">
        <v>0.05</v>
      </c>
      <c r="G72" s="40">
        <f>F72</f>
        <v>0.05</v>
      </c>
      <c r="H72" s="40">
        <f t="shared" si="49"/>
        <v>0.05</v>
      </c>
      <c r="I72" s="40">
        <f t="shared" si="49"/>
        <v>0.05</v>
      </c>
      <c r="J72" s="40">
        <f t="shared" si="49"/>
        <v>0.05</v>
      </c>
      <c r="K72" s="40">
        <f t="shared" si="49"/>
        <v>0.05</v>
      </c>
      <c r="L72" s="40">
        <f t="shared" si="49"/>
        <v>0.05</v>
      </c>
      <c r="M72" s="40">
        <f t="shared" si="49"/>
        <v>0.05</v>
      </c>
      <c r="N72" s="40">
        <f t="shared" si="49"/>
        <v>0.05</v>
      </c>
      <c r="O72" s="40">
        <f t="shared" si="49"/>
        <v>0.05</v>
      </c>
    </row>
    <row r="73" spans="1:15" x14ac:dyDescent="0.2">
      <c r="A73" t="s">
        <v>220</v>
      </c>
      <c r="C73" s="40">
        <f>294.706/'Consolidated Income Stmt'!B4</f>
        <v>6.2601004994383661E-2</v>
      </c>
      <c r="D73" s="40">
        <f>'Consolidated Balance Sheet'!B28/'Consolidated Income Stmt'!C4</f>
        <v>5.7755139097935247E-2</v>
      </c>
      <c r="E73" s="40">
        <f>'Consolidated Balance Sheet'!C28/'Consolidated Income Stmt'!D4</f>
        <v>4.8887489655011586E-2</v>
      </c>
      <c r="F73" s="43">
        <v>0.05</v>
      </c>
      <c r="G73" s="40">
        <f>F73</f>
        <v>0.05</v>
      </c>
      <c r="H73" s="40">
        <f t="shared" si="49"/>
        <v>0.05</v>
      </c>
      <c r="I73" s="40">
        <f t="shared" si="49"/>
        <v>0.05</v>
      </c>
      <c r="J73" s="40">
        <f t="shared" si="49"/>
        <v>0.05</v>
      </c>
      <c r="K73" s="40">
        <f t="shared" si="49"/>
        <v>0.05</v>
      </c>
      <c r="L73" s="40">
        <f t="shared" si="49"/>
        <v>0.05</v>
      </c>
      <c r="M73" s="40">
        <f t="shared" si="49"/>
        <v>0.05</v>
      </c>
      <c r="N73" s="40">
        <f t="shared" si="49"/>
        <v>0.05</v>
      </c>
      <c r="O73" s="40">
        <f t="shared" si="49"/>
        <v>0.05</v>
      </c>
    </row>
    <row r="74" spans="1:15" x14ac:dyDescent="0.2">
      <c r="A74" t="s">
        <v>221</v>
      </c>
      <c r="C74" s="39">
        <f>C68+C69-C70</f>
        <v>146.39990553668693</v>
      </c>
      <c r="D74" s="39">
        <f t="shared" ref="D74:E74" si="50">D68+D69-D70</f>
        <v>124.30334148452165</v>
      </c>
      <c r="E74" s="39">
        <f t="shared" si="50"/>
        <v>154.81171727985307</v>
      </c>
      <c r="F74" s="39">
        <f t="shared" ref="F74:O74" si="51">F68+F69-F70</f>
        <v>125</v>
      </c>
      <c r="G74" s="39">
        <f t="shared" si="51"/>
        <v>125</v>
      </c>
      <c r="H74" s="39">
        <f t="shared" si="51"/>
        <v>125</v>
      </c>
      <c r="I74" s="39">
        <f t="shared" si="51"/>
        <v>125</v>
      </c>
      <c r="J74" s="39">
        <f t="shared" si="51"/>
        <v>125</v>
      </c>
      <c r="K74" s="39">
        <f t="shared" si="51"/>
        <v>125</v>
      </c>
      <c r="L74" s="39">
        <f t="shared" si="51"/>
        <v>125</v>
      </c>
      <c r="M74" s="39">
        <f t="shared" si="51"/>
        <v>125</v>
      </c>
      <c r="N74" s="39">
        <f t="shared" si="51"/>
        <v>125</v>
      </c>
      <c r="O74" s="39">
        <f t="shared" si="51"/>
        <v>125</v>
      </c>
    </row>
    <row r="76" spans="1:15" x14ac:dyDescent="0.2">
      <c r="A76" t="s">
        <v>199</v>
      </c>
      <c r="C76" s="39">
        <f>'Operating model'!C17*(1-Estimates!C28)</f>
        <v>3251.7240000000002</v>
      </c>
      <c r="D76" s="39">
        <f>'Operating model'!D17*(1-Estimates!D28)</f>
        <v>3766.7930000000001</v>
      </c>
      <c r="E76" s="39">
        <f>'Operating model'!E17*(1-Estimates!E28)</f>
        <v>4449.1409999999996</v>
      </c>
      <c r="F76" s="39">
        <f>'Operating model'!F17*(1-Estimates!F28)</f>
        <v>6477.7</v>
      </c>
      <c r="G76" s="39">
        <f>'Operating model'!G17*(1-Estimates!G28)</f>
        <v>8353.9310106837493</v>
      </c>
      <c r="H76" s="39">
        <f>'Operating model'!H17*(1-Estimates!H28)</f>
        <v>10158.062247985732</v>
      </c>
      <c r="I76" s="39">
        <f>'Operating model'!I17*(1-Estimates!I28)</f>
        <v>11855.909623762616</v>
      </c>
      <c r="J76" s="39">
        <f>'Operating model'!J17*(1-Estimates!J28)</f>
        <v>13486.499195281294</v>
      </c>
      <c r="K76" s="39">
        <f>'Operating model'!K17*(1-Estimates!K28)</f>
        <v>15013.512572909443</v>
      </c>
      <c r="L76" s="39">
        <f>'Operating model'!L17*(1-Estimates!L28)</f>
        <v>16338.25823070502</v>
      </c>
      <c r="M76" s="39">
        <f>'Operating model'!M17*(1-Estimates!M28)</f>
        <v>17677.112956660254</v>
      </c>
      <c r="N76" s="39">
        <f>'Operating model'!N17*(1-Estimates!N28)</f>
        <v>18668.075528529906</v>
      </c>
      <c r="O76" s="39">
        <f>'Operating model'!O17*(1-Estimates!O28)</f>
        <v>19228.117794385806</v>
      </c>
    </row>
    <row r="78" spans="1:15" x14ac:dyDescent="0.2">
      <c r="A78" t="s">
        <v>222</v>
      </c>
      <c r="C78" s="80">
        <f>C68/365*'Operating model'!C17</f>
        <v>848.54200000000003</v>
      </c>
      <c r="D78" s="80">
        <f>D68/365*'Operating model'!D17</f>
        <v>964.05100000000004</v>
      </c>
      <c r="E78" s="39">
        <f>E68/365*'Operating model'!E17</f>
        <v>1343.278</v>
      </c>
      <c r="F78" s="39">
        <f>F68/365*'Operating model'!F17</f>
        <v>1878.7671232876712</v>
      </c>
      <c r="G78" s="39">
        <f>G68/365*'Operating model'!G17</f>
        <v>2462.3773975751819</v>
      </c>
      <c r="H78" s="39">
        <f>H68/365*'Operating model'!H17</f>
        <v>3043.6960000571876</v>
      </c>
      <c r="I78" s="39">
        <f>I68/365*'Operating model'!I17</f>
        <v>3612.1922521043393</v>
      </c>
      <c r="J78" s="39">
        <f>J68/365*'Operating model'!J17</f>
        <v>4179.301629024334</v>
      </c>
      <c r="K78" s="39">
        <f>K68/365*'Operating model'!K17</f>
        <v>4733.5011365818364</v>
      </c>
      <c r="L78" s="39">
        <f>L68/365*'Operating model'!L17</f>
        <v>5242.4375416306375</v>
      </c>
      <c r="M78" s="39">
        <f>M68/365*'Operating model'!M17</f>
        <v>5672.0342696922944</v>
      </c>
      <c r="N78" s="39">
        <f>N68/365*'Operating model'!N17</f>
        <v>5990.0032548658228</v>
      </c>
      <c r="O78" s="39">
        <f>O68/365*'Operating model'!O17</f>
        <v>6169.7033525117977</v>
      </c>
    </row>
    <row r="79" spans="1:15" x14ac:dyDescent="0.2">
      <c r="A79" t="s">
        <v>15</v>
      </c>
      <c r="C79" s="39">
        <f>C69/365*Estimates!C76</f>
        <v>1286.404</v>
      </c>
      <c r="D79" s="39">
        <f>D69/365*Estimates!D76</f>
        <v>1437.636</v>
      </c>
      <c r="E79" s="39">
        <f>E69/365*Estimates!E76</f>
        <v>2581.0430000000001</v>
      </c>
      <c r="F79" s="39">
        <f>F69/365*Estimates!F76</f>
        <v>3194.4821917808217</v>
      </c>
      <c r="G79" s="39">
        <f>G69/365*Estimates!G76</f>
        <v>4119.7467997892463</v>
      </c>
      <c r="H79" s="39">
        <f>H69/365*Estimates!H76</f>
        <v>5009.455355171046</v>
      </c>
      <c r="I79" s="39">
        <f>I69/365*Estimates!I76</f>
        <v>5846.7499514445772</v>
      </c>
      <c r="J79" s="39">
        <f>J69/365*Estimates!J76</f>
        <v>6650.8763154811859</v>
      </c>
      <c r="K79" s="39">
        <f>K69/365*Estimates!K76</f>
        <v>7403.9240085580814</v>
      </c>
      <c r="L79" s="39">
        <f>L69/365*Estimates!L76</f>
        <v>8057.2232370600095</v>
      </c>
      <c r="M79" s="39">
        <f>M69/365*Estimates!M76</f>
        <v>8717.4803621886185</v>
      </c>
      <c r="N79" s="39">
        <f>N69/365*Estimates!N76</f>
        <v>9206.1742332476242</v>
      </c>
      <c r="O79" s="39">
        <f>O69/365*Estimates!O76</f>
        <v>9482.3594602450539</v>
      </c>
    </row>
    <row r="80" spans="1:15" x14ac:dyDescent="0.2">
      <c r="A80" t="s">
        <v>223</v>
      </c>
      <c r="C80" s="39">
        <f>C71*'Operating model'!C17</f>
        <v>389.20299999999997</v>
      </c>
      <c r="D80" s="39">
        <f>D71*'Operating model'!D17</f>
        <v>551.59699999999998</v>
      </c>
      <c r="E80" s="39">
        <f>E71*'Operating model'!E17</f>
        <v>900.11199999999997</v>
      </c>
      <c r="F80" s="39">
        <f>F71*'Operating model'!F17</f>
        <v>1160.5</v>
      </c>
      <c r="G80" s="39">
        <f>G71*'Operating model'!G17</f>
        <v>1520.9915771175931</v>
      </c>
      <c r="H80" s="39">
        <f>H71*'Operating model'!H17</f>
        <v>1880.0676061891706</v>
      </c>
      <c r="I80" s="39">
        <f>I71*'Operating model'!I17</f>
        <v>2231.2233680306035</v>
      </c>
      <c r="J80" s="39">
        <f>J71*'Operating model'!J17</f>
        <v>2581.5224677742617</v>
      </c>
      <c r="K80" s="39">
        <f>K71*'Operating model'!K17</f>
        <v>2923.8472405193961</v>
      </c>
      <c r="L80" s="39">
        <f>L71*'Operating model'!L17</f>
        <v>3238.2133430226168</v>
      </c>
      <c r="M80" s="39">
        <f>M71*'Operating model'!M17</f>
        <v>3503.5719373560864</v>
      </c>
      <c r="N80" s="39">
        <f>N71*'Operating model'!N17</f>
        <v>3699.9789335825044</v>
      </c>
      <c r="O80" s="39">
        <f>O71*'Operating model'!O17</f>
        <v>3810.9783015899802</v>
      </c>
    </row>
    <row r="81" spans="1:15" x14ac:dyDescent="0.2">
      <c r="A81" t="s">
        <v>282</v>
      </c>
      <c r="C81" s="39">
        <f>C70/365*C76</f>
        <v>568.26199999999994</v>
      </c>
      <c r="D81" s="39">
        <f t="shared" ref="D81:O81" si="52">D70/365*D76</f>
        <v>779.83800000000008</v>
      </c>
      <c r="E81" s="39">
        <f t="shared" si="52"/>
        <v>1533.578</v>
      </c>
      <c r="F81" s="39">
        <f t="shared" si="52"/>
        <v>2129.654794520548</v>
      </c>
      <c r="G81" s="39">
        <f t="shared" si="52"/>
        <v>2746.4978665261642</v>
      </c>
      <c r="H81" s="39">
        <f t="shared" si="52"/>
        <v>3339.6369034473637</v>
      </c>
      <c r="I81" s="39">
        <f t="shared" si="52"/>
        <v>3897.8333009630519</v>
      </c>
      <c r="J81" s="39">
        <f t="shared" si="52"/>
        <v>4433.9175436541236</v>
      </c>
      <c r="K81" s="39">
        <f t="shared" si="52"/>
        <v>4935.9493390387206</v>
      </c>
      <c r="L81" s="39">
        <f t="shared" si="52"/>
        <v>5371.4821580400057</v>
      </c>
      <c r="M81" s="39">
        <f t="shared" si="52"/>
        <v>5811.6535747924117</v>
      </c>
      <c r="N81" s="39">
        <f t="shared" si="52"/>
        <v>6137.4494888317495</v>
      </c>
      <c r="O81" s="39">
        <f t="shared" si="52"/>
        <v>6321.5729734967026</v>
      </c>
    </row>
    <row r="82" spans="1:15" x14ac:dyDescent="0.2">
      <c r="A82" t="s">
        <v>225</v>
      </c>
      <c r="C82" s="39">
        <f>C72*'Operating model'!C17</f>
        <v>212.458</v>
      </c>
      <c r="D82" s="39">
        <f>D72*'Operating model'!D17</f>
        <v>258.64999999999998</v>
      </c>
      <c r="E82" s="39">
        <f>E72*'Operating model'!E17</f>
        <v>358.04700000000003</v>
      </c>
      <c r="F82" s="39">
        <f>F72*'Operating model'!F17</f>
        <v>527.5</v>
      </c>
      <c r="G82" s="39">
        <f>G72*'Operating model'!G17</f>
        <v>691.35980778072417</v>
      </c>
      <c r="H82" s="39">
        <f>H72*'Operating model'!H17</f>
        <v>854.57618463144127</v>
      </c>
      <c r="I82" s="39">
        <f>I72*'Operating model'!I17</f>
        <v>1014.1924400139108</v>
      </c>
      <c r="J82" s="39">
        <f>J72*'Operating model'!J17</f>
        <v>1173.4193035337555</v>
      </c>
      <c r="K82" s="39">
        <f>K72*'Operating model'!K17</f>
        <v>1329.0214729633619</v>
      </c>
      <c r="L82" s="39">
        <f>L72*'Operating model'!L17</f>
        <v>1471.9151559193715</v>
      </c>
      <c r="M82" s="39">
        <f>M72*'Operating model'!M17</f>
        <v>1592.5326987982212</v>
      </c>
      <c r="N82" s="39">
        <f>N72*'Operating model'!N17</f>
        <v>1681.8086061738659</v>
      </c>
      <c r="O82" s="39">
        <f>O72*'Operating model'!O17</f>
        <v>1732.262864359082</v>
      </c>
    </row>
    <row r="83" spans="1:15" x14ac:dyDescent="0.2">
      <c r="A83" t="s">
        <v>224</v>
      </c>
      <c r="B83" s="42"/>
      <c r="C83" s="39">
        <f>C73*'Operating model'!C17</f>
        <v>294.70600000000002</v>
      </c>
      <c r="D83" s="39">
        <f>D73*'Operating model'!D17</f>
        <v>335.56400000000002</v>
      </c>
      <c r="E83" s="39">
        <f>E73*'Operating model'!E17</f>
        <v>347.99</v>
      </c>
      <c r="F83" s="39">
        <f>F73*'Operating model'!F17</f>
        <v>527.5</v>
      </c>
      <c r="G83" s="39">
        <f>G73*'Operating model'!G17</f>
        <v>691.35980778072417</v>
      </c>
      <c r="H83" s="39">
        <f>H73*'Operating model'!H17</f>
        <v>854.57618463144127</v>
      </c>
      <c r="I83" s="39">
        <f>I73*'Operating model'!I17</f>
        <v>1014.1924400139108</v>
      </c>
      <c r="J83" s="39">
        <f>J73*'Operating model'!J17</f>
        <v>1173.4193035337555</v>
      </c>
      <c r="K83" s="39">
        <f>K73*'Operating model'!K17</f>
        <v>1329.0214729633619</v>
      </c>
      <c r="L83" s="39">
        <f>L73*'Operating model'!L17</f>
        <v>1471.9151559193715</v>
      </c>
      <c r="M83" s="39">
        <f>M73*'Operating model'!M17</f>
        <v>1592.5326987982212</v>
      </c>
      <c r="N83" s="39">
        <f>N73*'Operating model'!N17</f>
        <v>1681.8086061738659</v>
      </c>
      <c r="O83" s="39">
        <f>O73*'Operating model'!O17</f>
        <v>1732.262864359082</v>
      </c>
    </row>
    <row r="84" spans="1:15" x14ac:dyDescent="0.2">
      <c r="B84" s="42"/>
      <c r="C84" s="42"/>
      <c r="D84" s="42"/>
      <c r="E84" s="42"/>
      <c r="F84" s="42"/>
      <c r="G84" s="42"/>
      <c r="H84" s="42"/>
      <c r="I84" s="42"/>
      <c r="J84" s="42"/>
      <c r="K84" s="42"/>
      <c r="L84" s="42"/>
      <c r="M84" s="42"/>
      <c r="N84" s="42"/>
      <c r="O84" s="42"/>
    </row>
    <row r="85" spans="1:15" x14ac:dyDescent="0.2">
      <c r="A85" s="42" t="s">
        <v>210</v>
      </c>
      <c r="C85" s="44">
        <f>C78+C79+C80-C81-C82-C83</f>
        <v>1448.723</v>
      </c>
      <c r="D85" s="44">
        <f t="shared" ref="D85:O85" si="53">D78+D79+D80-D81-D82-D83</f>
        <v>1579.2319999999993</v>
      </c>
      <c r="E85" s="44">
        <f t="shared" si="53"/>
        <v>2584.8180000000002</v>
      </c>
      <c r="F85" s="44">
        <f t="shared" si="53"/>
        <v>3049.0945205479456</v>
      </c>
      <c r="G85" s="44">
        <f t="shared" si="53"/>
        <v>3973.8982923944091</v>
      </c>
      <c r="H85" s="44">
        <f t="shared" si="53"/>
        <v>4884.4296887071578</v>
      </c>
      <c r="I85" s="44">
        <f t="shared" si="53"/>
        <v>5763.947390588648</v>
      </c>
      <c r="J85" s="44">
        <f t="shared" si="53"/>
        <v>6630.9442615581465</v>
      </c>
      <c r="K85" s="44">
        <f t="shared" si="53"/>
        <v>7467.2801006938689</v>
      </c>
      <c r="L85" s="44">
        <f t="shared" si="53"/>
        <v>8222.5616518345159</v>
      </c>
      <c r="M85" s="44">
        <f t="shared" si="53"/>
        <v>8896.3675968481457</v>
      </c>
      <c r="N85" s="44">
        <f t="shared" si="53"/>
        <v>9395.0897205164729</v>
      </c>
      <c r="O85" s="44">
        <f t="shared" si="53"/>
        <v>9676.942412131968</v>
      </c>
    </row>
    <row r="86" spans="1:15" x14ac:dyDescent="0.2">
      <c r="A86" s="42" t="s">
        <v>161</v>
      </c>
      <c r="C86" s="44"/>
      <c r="D86" s="44">
        <f>D85-C85</f>
        <v>130.50899999999933</v>
      </c>
      <c r="E86" s="44">
        <f t="shared" ref="E86:O86" si="54">E85-D85</f>
        <v>1005.5860000000009</v>
      </c>
      <c r="F86" s="44">
        <f t="shared" si="54"/>
        <v>464.27652054794544</v>
      </c>
      <c r="G86" s="44">
        <f t="shared" si="54"/>
        <v>924.80377184646341</v>
      </c>
      <c r="H86" s="44">
        <f t="shared" si="54"/>
        <v>910.53139631274871</v>
      </c>
      <c r="I86" s="44">
        <f t="shared" si="54"/>
        <v>879.51770188149021</v>
      </c>
      <c r="J86" s="44">
        <f t="shared" si="54"/>
        <v>866.99687096949856</v>
      </c>
      <c r="K86" s="44">
        <f t="shared" si="54"/>
        <v>836.33583913572238</v>
      </c>
      <c r="L86" s="44">
        <f t="shared" si="54"/>
        <v>755.28155114064703</v>
      </c>
      <c r="M86" s="44">
        <f t="shared" si="54"/>
        <v>673.80594501362975</v>
      </c>
      <c r="N86" s="44">
        <f t="shared" si="54"/>
        <v>498.72212366832719</v>
      </c>
      <c r="O86" s="44">
        <f t="shared" si="54"/>
        <v>281.85269161549513</v>
      </c>
    </row>
  </sheetData>
  <pageMargins left="0.7" right="0.7" top="0.75" bottom="0.75" header="0.3" footer="0.3"/>
  <pageSetup paperSize="9" orientation="portrait" horizontalDpi="0" verticalDpi="0"/>
  <ignoredErrors>
    <ignoredError sqref="C36:E36" formulaRange="1"/>
    <ignoredError sqref="M35:O35" formula="1"/>
  </ignoredErrors>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8B6D-045C-8941-A66D-AABDD60BFFE6}">
  <dimension ref="A2:T32"/>
  <sheetViews>
    <sheetView showGridLines="0" workbookViewId="0">
      <selection activeCell="B4" sqref="B4"/>
    </sheetView>
  </sheetViews>
  <sheetFormatPr baseColWidth="10" defaultRowHeight="15" x14ac:dyDescent="0.2"/>
  <cols>
    <col min="1" max="1" width="20.5" bestFit="1" customWidth="1"/>
    <col min="3" max="3" width="10.83203125" customWidth="1"/>
  </cols>
  <sheetData>
    <row r="2" spans="1:20" x14ac:dyDescent="0.2">
      <c r="A2" s="12" t="s">
        <v>267</v>
      </c>
      <c r="B2" s="12"/>
      <c r="C2" s="12"/>
      <c r="D2" s="12"/>
      <c r="E2" s="12"/>
      <c r="F2" s="106"/>
    </row>
    <row r="4" spans="1:20" x14ac:dyDescent="0.2">
      <c r="A4" s="42" t="s">
        <v>269</v>
      </c>
      <c r="B4" t="s">
        <v>268</v>
      </c>
    </row>
    <row r="5" spans="1:20" x14ac:dyDescent="0.2">
      <c r="A5" t="s">
        <v>270</v>
      </c>
      <c r="B5">
        <f>IF($B$6&lt;&gt;"",$B$6,IFERROR(MATCH($B$4,$B$8:$D$8,0),2))</f>
        <v>2</v>
      </c>
    </row>
    <row r="6" spans="1:20" x14ac:dyDescent="0.2">
      <c r="A6" t="s">
        <v>271</v>
      </c>
    </row>
    <row r="8" spans="1:20" x14ac:dyDescent="0.2">
      <c r="A8" s="42" t="s">
        <v>274</v>
      </c>
      <c r="B8" s="42" t="s">
        <v>272</v>
      </c>
      <c r="C8" s="42" t="s">
        <v>268</v>
      </c>
      <c r="D8" s="42" t="s">
        <v>273</v>
      </c>
      <c r="E8" s="42" t="s">
        <v>275</v>
      </c>
      <c r="S8" s="39"/>
      <c r="T8" s="40"/>
    </row>
    <row r="9" spans="1:20" x14ac:dyDescent="0.2">
      <c r="A9" t="s">
        <v>276</v>
      </c>
      <c r="B9" s="43">
        <v>-1.4999999999999999E-2</v>
      </c>
      <c r="C9" s="43">
        <v>0</v>
      </c>
      <c r="D9" s="43">
        <v>1.4999999999999999E-2</v>
      </c>
      <c r="E9" s="40" cm="1">
        <f t="array" ref="E9">INDEX(B9:D9,$B$5)</f>
        <v>0</v>
      </c>
    </row>
    <row r="10" spans="1:20" x14ac:dyDescent="0.2">
      <c r="A10" t="s">
        <v>277</v>
      </c>
      <c r="B10" s="43">
        <v>0.13</v>
      </c>
      <c r="C10" s="43">
        <v>0.20499999999999999</v>
      </c>
      <c r="D10" s="43">
        <v>0.26</v>
      </c>
      <c r="E10" s="40" cm="1">
        <f t="array" ref="E10">INDEX(B10:D10,$B$5)</f>
        <v>0.20499999999999999</v>
      </c>
    </row>
    <row r="11" spans="1:20" x14ac:dyDescent="0.2">
      <c r="A11" t="s">
        <v>278</v>
      </c>
      <c r="B11" s="43">
        <v>0.09</v>
      </c>
      <c r="C11" s="43">
        <v>0.17</v>
      </c>
      <c r="D11" s="43">
        <v>0.22</v>
      </c>
      <c r="E11" s="40" cm="1">
        <f t="array" ref="E11">INDEX(B11:D11,$B$5)</f>
        <v>0.17</v>
      </c>
    </row>
    <row r="12" spans="1:20" x14ac:dyDescent="0.2">
      <c r="A12" t="s">
        <v>279</v>
      </c>
      <c r="B12" s="43">
        <v>0.41499999999999998</v>
      </c>
      <c r="C12" s="43">
        <v>0.44500000000000001</v>
      </c>
      <c r="D12" s="43">
        <v>0.46500000000000002</v>
      </c>
      <c r="E12" s="40" cm="1">
        <f t="array" ref="E12">INDEX(B12:D12,$B$5)</f>
        <v>0.44500000000000001</v>
      </c>
    </row>
    <row r="13" spans="1:20" x14ac:dyDescent="0.2">
      <c r="A13" t="s">
        <v>280</v>
      </c>
      <c r="B13" s="43">
        <v>0.10199999999999999</v>
      </c>
      <c r="C13" s="43">
        <v>9.1999999999999998E-2</v>
      </c>
      <c r="D13" s="43">
        <v>8.6999999999999994E-2</v>
      </c>
      <c r="E13" s="40" cm="1">
        <f t="array" ref="E13">INDEX(B13:D13,$B$5)</f>
        <v>9.1999999999999998E-2</v>
      </c>
    </row>
    <row r="14" spans="1:20" x14ac:dyDescent="0.2">
      <c r="A14" t="s">
        <v>181</v>
      </c>
      <c r="B14" s="43">
        <v>2.5000000000000001E-2</v>
      </c>
      <c r="C14" s="43">
        <v>0.03</v>
      </c>
      <c r="D14" s="43">
        <v>3.5000000000000003E-2</v>
      </c>
      <c r="E14" s="40" cm="1">
        <f t="array" ref="E14">INDEX(B14:D14,$B$5)</f>
        <v>0.03</v>
      </c>
    </row>
    <row r="15" spans="1:20" x14ac:dyDescent="0.2">
      <c r="F15" s="40"/>
    </row>
    <row r="18" spans="1:3" x14ac:dyDescent="0.2">
      <c r="A18" s="119" t="s">
        <v>267</v>
      </c>
      <c r="B18" s="119" t="s">
        <v>263</v>
      </c>
      <c r="C18" s="119" t="s">
        <v>235</v>
      </c>
    </row>
    <row r="19" spans="1:3" x14ac:dyDescent="0.2">
      <c r="A19" s="119"/>
      <c r="B19" s="119"/>
      <c r="C19" s="119"/>
    </row>
    <row r="20" spans="1:3" x14ac:dyDescent="0.2">
      <c r="A20" s="119"/>
      <c r="B20" s="120">
        <f>DCF!$C$45</f>
        <v>241.20468942703616</v>
      </c>
      <c r="C20" s="121">
        <f>'Operating model'!$C$4</f>
        <v>0.2302001339431804</v>
      </c>
    </row>
    <row r="21" spans="1:3" x14ac:dyDescent="0.2">
      <c r="A21" s="119">
        <v>1</v>
      </c>
      <c r="B21" s="120">
        <f t="dataTable" ref="B21:C23" dt2D="0" dtr="0" r1="B6"/>
        <v>141.90742547922082</v>
      </c>
      <c r="C21" s="121">
        <v>0.17817015399633612</v>
      </c>
    </row>
    <row r="22" spans="1:3" x14ac:dyDescent="0.2">
      <c r="A22" s="119">
        <v>2</v>
      </c>
      <c r="B22" s="120">
        <v>241.20468942703616</v>
      </c>
      <c r="C22" s="121">
        <v>0.2302001339431804</v>
      </c>
    </row>
    <row r="23" spans="1:3" x14ac:dyDescent="0.2">
      <c r="A23" s="119">
        <v>3</v>
      </c>
      <c r="B23" s="120">
        <v>357.40597833287029</v>
      </c>
      <c r="C23" s="121">
        <v>0.26660950129516958</v>
      </c>
    </row>
    <row r="28" spans="1:3" x14ac:dyDescent="0.2">
      <c r="A28" t="s">
        <v>288</v>
      </c>
      <c r="C28" s="40">
        <v>0.15</v>
      </c>
    </row>
    <row r="29" spans="1:3" x14ac:dyDescent="0.2">
      <c r="A29" t="s">
        <v>285</v>
      </c>
      <c r="C29" s="39">
        <v>295</v>
      </c>
    </row>
    <row r="31" spans="1:3" x14ac:dyDescent="0.2">
      <c r="A31" t="s">
        <v>287</v>
      </c>
      <c r="C31" s="40">
        <f>($C$29-$B$21*C28-$B$22*(1-C28))/($B$23-$B$22)</f>
        <v>0.59112855642074902</v>
      </c>
    </row>
    <row r="32" spans="1:3" x14ac:dyDescent="0.2">
      <c r="A32" t="s">
        <v>286</v>
      </c>
      <c r="C32" s="40">
        <f>1-C28-C31</f>
        <v>0.25887144357925096</v>
      </c>
    </row>
  </sheetData>
  <dataValidations count="1">
    <dataValidation type="list" allowBlank="1" showInputMessage="1" showErrorMessage="1" sqref="B4" xr:uid="{58540003-BB4E-CF45-B054-0BC17D8B817B}">
      <formula1>"Bear,Base,Bull"</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91FE-ED3A-DE49-85F4-991C388F7144}">
  <dimension ref="A2:X57"/>
  <sheetViews>
    <sheetView showGridLines="0" tabSelected="1" topLeftCell="A12" zoomScaleNormal="100" workbookViewId="0">
      <selection activeCell="C43" sqref="C43"/>
    </sheetView>
  </sheetViews>
  <sheetFormatPr baseColWidth="10" defaultRowHeight="15" x14ac:dyDescent="0.2"/>
  <cols>
    <col min="1" max="1" width="16.5" bestFit="1" customWidth="1"/>
    <col min="18" max="18" width="13.83203125" bestFit="1" customWidth="1"/>
  </cols>
  <sheetData>
    <row r="2" spans="1:15" x14ac:dyDescent="0.2">
      <c r="A2" s="74" t="s">
        <v>208</v>
      </c>
      <c r="B2" s="73"/>
      <c r="C2" s="73"/>
      <c r="D2" s="73"/>
      <c r="E2" s="73"/>
      <c r="F2" s="73"/>
      <c r="G2" s="73"/>
      <c r="H2" s="73"/>
      <c r="I2" s="73"/>
      <c r="J2" s="73"/>
      <c r="K2" s="73"/>
      <c r="L2" s="73"/>
      <c r="M2" s="73"/>
      <c r="N2" s="73"/>
      <c r="O2" s="73"/>
    </row>
    <row r="4" spans="1:15" x14ac:dyDescent="0.2">
      <c r="A4" s="42" t="s">
        <v>162</v>
      </c>
      <c r="B4" s="29">
        <f>WACC!D17</f>
        <v>0.11828878124435303</v>
      </c>
      <c r="F4" s="40">
        <f xml:space="preserve"> WACC!$D$17</f>
        <v>0.11828878124435303</v>
      </c>
      <c r="G4" s="40">
        <f xml:space="preserve"> $F$4+($B$5-$F$4)*(G8-$F$8)/9</f>
        <v>0.11572262718118474</v>
      </c>
      <c r="H4" s="40">
        <f t="shared" ref="H4:O4" si="0" xml:space="preserve"> $F$4+($B$5-$F$4)*(H8-$F$8)/9</f>
        <v>0.11315647311801644</v>
      </c>
      <c r="I4" s="40">
        <f t="shared" si="0"/>
        <v>0.11059031905484815</v>
      </c>
      <c r="J4" s="40">
        <f t="shared" si="0"/>
        <v>0.10802416499167984</v>
      </c>
      <c r="K4" s="40">
        <f t="shared" si="0"/>
        <v>0.10545801092851155</v>
      </c>
      <c r="L4" s="40">
        <f t="shared" si="0"/>
        <v>0.10289185686534325</v>
      </c>
      <c r="M4" s="40">
        <f t="shared" si="0"/>
        <v>0.10032570280217495</v>
      </c>
      <c r="N4" s="40">
        <f t="shared" si="0"/>
        <v>9.7759548739006663E-2</v>
      </c>
      <c r="O4" s="40">
        <f t="shared" si="0"/>
        <v>9.5193394675838358E-2</v>
      </c>
    </row>
    <row r="5" spans="1:15" x14ac:dyDescent="0.2">
      <c r="A5" s="42" t="s">
        <v>251</v>
      </c>
      <c r="B5" s="29">
        <f>WACC!C36</f>
        <v>9.5193394675838358E-2</v>
      </c>
    </row>
    <row r="6" spans="1:15" x14ac:dyDescent="0.2">
      <c r="A6" s="42" t="s">
        <v>181</v>
      </c>
      <c r="B6" s="29">
        <f>Scenarios!E14</f>
        <v>0.03</v>
      </c>
    </row>
    <row r="8" spans="1:15" x14ac:dyDescent="0.2">
      <c r="A8" s="12"/>
      <c r="B8" s="12"/>
      <c r="C8" s="13">
        <v>2024</v>
      </c>
      <c r="D8" s="13">
        <v>2025</v>
      </c>
      <c r="E8" s="47">
        <v>2026</v>
      </c>
      <c r="F8" s="14">
        <f t="shared" ref="F8:O8" si="1">E8+1</f>
        <v>2027</v>
      </c>
      <c r="G8" s="14">
        <f t="shared" si="1"/>
        <v>2028</v>
      </c>
      <c r="H8" s="14">
        <f t="shared" si="1"/>
        <v>2029</v>
      </c>
      <c r="I8" s="14">
        <f t="shared" si="1"/>
        <v>2030</v>
      </c>
      <c r="J8" s="14">
        <f t="shared" si="1"/>
        <v>2031</v>
      </c>
      <c r="K8" s="14">
        <f t="shared" si="1"/>
        <v>2032</v>
      </c>
      <c r="L8" s="14">
        <f t="shared" si="1"/>
        <v>2033</v>
      </c>
      <c r="M8" s="14">
        <f t="shared" si="1"/>
        <v>2034</v>
      </c>
      <c r="N8" s="14">
        <f t="shared" si="1"/>
        <v>2035</v>
      </c>
      <c r="O8" s="14">
        <f t="shared" si="1"/>
        <v>2036</v>
      </c>
    </row>
    <row r="9" spans="1:15" x14ac:dyDescent="0.2">
      <c r="E9" s="48"/>
    </row>
    <row r="10" spans="1:15" x14ac:dyDescent="0.2">
      <c r="A10" t="s">
        <v>0</v>
      </c>
      <c r="C10" s="39">
        <f>'Operating model'!C17</f>
        <v>4707.6880000000001</v>
      </c>
      <c r="D10" s="39">
        <f>'Operating model'!D17</f>
        <v>5810.1149999999998</v>
      </c>
      <c r="E10" s="82">
        <f>'Operating model'!E17</f>
        <v>7118.1809999999996</v>
      </c>
      <c r="F10" s="39">
        <f>'Operating model'!F17</f>
        <v>10550</v>
      </c>
      <c r="G10" s="39">
        <f>'Operating model'!G17</f>
        <v>13827.196155614483</v>
      </c>
      <c r="H10" s="39">
        <f>'Operating model'!H17</f>
        <v>17091.523692628823</v>
      </c>
      <c r="I10" s="39">
        <f>'Operating model'!I17</f>
        <v>20283.848800278214</v>
      </c>
      <c r="J10" s="39">
        <f>'Operating model'!J17</f>
        <v>23468.386070675107</v>
      </c>
      <c r="K10" s="39">
        <f>'Operating model'!K17</f>
        <v>26580.429459267238</v>
      </c>
      <c r="L10" s="39">
        <f>'Operating model'!L17</f>
        <v>29438.303118387426</v>
      </c>
      <c r="M10" s="39">
        <f>'Operating model'!M17</f>
        <v>31850.653975964422</v>
      </c>
      <c r="N10" s="39">
        <f>'Operating model'!N17</f>
        <v>33636.172123477314</v>
      </c>
      <c r="O10" s="39">
        <f>'Operating model'!O17</f>
        <v>34645.257287181637</v>
      </c>
    </row>
    <row r="11" spans="1:15" x14ac:dyDescent="0.2">
      <c r="D11" s="39"/>
      <c r="E11" s="82"/>
      <c r="F11" s="39"/>
      <c r="G11" s="39"/>
      <c r="H11" s="39"/>
      <c r="I11" s="39"/>
      <c r="J11" s="39"/>
      <c r="K11" s="39"/>
      <c r="L11" s="39"/>
      <c r="M11" s="39"/>
      <c r="N11" s="39"/>
      <c r="O11" s="39"/>
    </row>
    <row r="12" spans="1:15" x14ac:dyDescent="0.2">
      <c r="A12" t="s">
        <v>151</v>
      </c>
      <c r="C12" s="39">
        <f>'Operating model'!C22</f>
        <v>96.120999999999952</v>
      </c>
      <c r="D12" s="39">
        <f>'Operating model'!D22</f>
        <v>289.87799999999964</v>
      </c>
      <c r="E12" s="82">
        <f>'Operating model'!E22</f>
        <v>897.86099999999999</v>
      </c>
      <c r="F12" s="39">
        <f>'Operating model'!F22</f>
        <v>1671.3000000000002</v>
      </c>
      <c r="G12" s="39">
        <f>'Operating model'!G22</f>
        <v>2465.7678310922461</v>
      </c>
      <c r="H12" s="39">
        <f>'Operating model'!H22</f>
        <v>3366.9103893973461</v>
      </c>
      <c r="I12" s="39">
        <f>'Operating model'!I22</f>
        <v>4361.3113408600948</v>
      </c>
      <c r="J12" s="39">
        <f>'Operating model'!J22</f>
        <v>5460.311159110408</v>
      </c>
      <c r="K12" s="39">
        <f>'Operating model'!K22</f>
        <v>6627.3870785106328</v>
      </c>
      <c r="L12" s="39">
        <f>'Operating model'!L22</f>
        <v>7830.5886294910561</v>
      </c>
      <c r="M12" s="39">
        <f>'Operating model'!M22</f>
        <v>8472.2739576065378</v>
      </c>
      <c r="N12" s="39">
        <f>'Operating model'!N22</f>
        <v>8947.2217848449654</v>
      </c>
      <c r="O12" s="39">
        <f>'Operating model'!O22</f>
        <v>9215.6384383903151</v>
      </c>
    </row>
    <row r="13" spans="1:15" x14ac:dyDescent="0.2">
      <c r="E13" s="48"/>
    </row>
    <row r="14" spans="1:15" x14ac:dyDescent="0.2">
      <c r="A14" t="s">
        <v>175</v>
      </c>
      <c r="C14" s="40">
        <f>'Operating model'!C29</f>
        <v>-7.5294452308546742E-2</v>
      </c>
      <c r="D14" s="40">
        <f>'Operating model'!D29</f>
        <v>0.68085919665325279</v>
      </c>
      <c r="E14" s="91">
        <f>'Operating model'!E29</f>
        <v>7.1778496295413774E-2</v>
      </c>
      <c r="F14" s="40">
        <f>'Operating model'!F29</f>
        <v>0.21</v>
      </c>
      <c r="G14" s="40">
        <f>'Operating model'!G29</f>
        <v>0.21</v>
      </c>
      <c r="H14" s="40">
        <f>'Operating model'!H29</f>
        <v>0.21</v>
      </c>
      <c r="I14" s="40">
        <f>'Operating model'!I29</f>
        <v>0.21</v>
      </c>
      <c r="J14" s="40">
        <f>'Operating model'!J29</f>
        <v>0.21</v>
      </c>
      <c r="K14" s="40">
        <f>'Operating model'!K29</f>
        <v>0.21</v>
      </c>
      <c r="L14" s="40">
        <f>'Operating model'!L29</f>
        <v>0.21</v>
      </c>
      <c r="M14" s="40">
        <f>'Operating model'!M29</f>
        <v>0.21</v>
      </c>
      <c r="N14" s="40">
        <f>'Operating model'!N29</f>
        <v>0.21</v>
      </c>
      <c r="O14" s="40">
        <f>'Operating model'!O29</f>
        <v>0.21</v>
      </c>
    </row>
    <row r="15" spans="1:15" x14ac:dyDescent="0.2">
      <c r="E15" s="48"/>
    </row>
    <row r="16" spans="1:15" x14ac:dyDescent="0.2">
      <c r="A16" s="75" t="s">
        <v>209</v>
      </c>
      <c r="B16" s="76"/>
      <c r="C16" s="90">
        <f>C12*(1-C14)</f>
        <v>103.35837805034977</v>
      </c>
      <c r="D16" s="77">
        <f t="shared" ref="D16:O16" si="2">D12*(1-D14)</f>
        <v>92.511897792548282</v>
      </c>
      <c r="E16" s="92">
        <f t="shared" si="2"/>
        <v>833.41388753770343</v>
      </c>
      <c r="F16" s="77">
        <f t="shared" si="2"/>
        <v>1320.3270000000002</v>
      </c>
      <c r="G16" s="77">
        <f t="shared" si="2"/>
        <v>1947.9565865628745</v>
      </c>
      <c r="H16" s="77">
        <f t="shared" si="2"/>
        <v>2659.8592076239033</v>
      </c>
      <c r="I16" s="77">
        <f t="shared" si="2"/>
        <v>3445.4359592794749</v>
      </c>
      <c r="J16" s="77">
        <f t="shared" si="2"/>
        <v>4313.6458156972221</v>
      </c>
      <c r="K16" s="77">
        <f t="shared" si="2"/>
        <v>5235.6357920234004</v>
      </c>
      <c r="L16" s="77">
        <f t="shared" si="2"/>
        <v>6186.1650172979344</v>
      </c>
      <c r="M16" s="77">
        <f t="shared" si="2"/>
        <v>6693.0964265091652</v>
      </c>
      <c r="N16" s="77">
        <f t="shared" si="2"/>
        <v>7068.3052100275227</v>
      </c>
      <c r="O16" s="78">
        <f t="shared" si="2"/>
        <v>7280.354366328349</v>
      </c>
    </row>
    <row r="17" spans="1:24" x14ac:dyDescent="0.2">
      <c r="E17" s="48"/>
    </row>
    <row r="18" spans="1:24" x14ac:dyDescent="0.2">
      <c r="A18" t="s">
        <v>155</v>
      </c>
      <c r="C18" s="39">
        <f>'Operating model'!C41</f>
        <v>554.29399999999998</v>
      </c>
      <c r="D18" s="39">
        <f>'Operating model'!D41</f>
        <v>548.67000000000007</v>
      </c>
      <c r="E18" s="82">
        <f>'Operating model'!E41</f>
        <v>517.52</v>
      </c>
      <c r="F18" s="39">
        <f>'Operating model'!F41</f>
        <v>663.16998702747844</v>
      </c>
      <c r="G18" s="39">
        <f>'Operating model'!G41</f>
        <v>918.18536922187513</v>
      </c>
      <c r="H18" s="39">
        <f>'Operating model'!H41</f>
        <v>1254.8459306845298</v>
      </c>
      <c r="I18" s="39">
        <f>'Operating model'!I41</f>
        <v>1449.7771838044337</v>
      </c>
      <c r="J18" s="39">
        <f>'Operating model'!J41</f>
        <v>1633.8240707477489</v>
      </c>
      <c r="K18" s="39">
        <f>'Operating model'!K41</f>
        <v>1825.5778209868245</v>
      </c>
      <c r="L18" s="39">
        <f>'Operating model'!L41</f>
        <v>2016.2430952781622</v>
      </c>
      <c r="M18" s="39">
        <f>'Operating model'!M41</f>
        <v>2191.3361762755476</v>
      </c>
      <c r="N18" s="39">
        <f>'Operating model'!N41</f>
        <v>2339.1334530207605</v>
      </c>
      <c r="O18" s="39">
        <f>'Operating model'!O41</f>
        <v>2448.5266281273966</v>
      </c>
    </row>
    <row r="19" spans="1:24" x14ac:dyDescent="0.2">
      <c r="E19" s="48"/>
    </row>
    <row r="20" spans="1:24" x14ac:dyDescent="0.2">
      <c r="A20" t="s">
        <v>159</v>
      </c>
      <c r="C20" s="80">
        <f>'Operating model'!C47</f>
        <v>-346.81599999999997</v>
      </c>
      <c r="D20" s="39">
        <f>'Operating model'!D47</f>
        <v>-440.83600000000001</v>
      </c>
      <c r="E20" s="82">
        <f>'Operating model'!E47</f>
        <v>-1102.9090000000001</v>
      </c>
      <c r="F20" s="39">
        <f>'Operating model'!F47</f>
        <v>-2637.5</v>
      </c>
      <c r="G20" s="39">
        <f>'Operating model'!G47</f>
        <v>-3180.2551157913313</v>
      </c>
      <c r="H20" s="39">
        <f>'Operating model'!H47</f>
        <v>-2552.2826149770726</v>
      </c>
      <c r="I20" s="39">
        <f>'Operating model'!I47</f>
        <v>-2717.9909969708101</v>
      </c>
      <c r="J20" s="39">
        <f>'Operating model'!J47</f>
        <v>-2909.866389984365</v>
      </c>
      <c r="K20" s="39">
        <f>'Operating model'!K47</f>
        <v>-3070.4522441259342</v>
      </c>
      <c r="L20" s="39">
        <f>'Operating model'!L47</f>
        <v>-3140.0843139068234</v>
      </c>
      <c r="M20" s="39">
        <f>'Operating model'!M47</f>
        <v>-3103.0236798836409</v>
      </c>
      <c r="N20" s="39">
        <f>'Operating model'!N47</f>
        <v>-2952.3291899316614</v>
      </c>
      <c r="O20" s="39">
        <f>'Operating model'!O47</f>
        <v>-2878.4087918831242</v>
      </c>
    </row>
    <row r="21" spans="1:24" x14ac:dyDescent="0.2">
      <c r="E21" s="48"/>
    </row>
    <row r="22" spans="1:24" x14ac:dyDescent="0.2">
      <c r="A22" t="s">
        <v>161</v>
      </c>
      <c r="D22" s="80">
        <f>'Operating model'!D55</f>
        <v>130.50899999999933</v>
      </c>
      <c r="E22" s="93">
        <f>'Operating model'!E55</f>
        <v>1005.5860000000009</v>
      </c>
      <c r="F22" s="80">
        <f>'Operating model'!F55</f>
        <v>464.27652054794544</v>
      </c>
      <c r="G22" s="80">
        <f>'Operating model'!G55</f>
        <v>924.80377184646341</v>
      </c>
      <c r="H22" s="80">
        <f>'Operating model'!H55</f>
        <v>910.53139631274871</v>
      </c>
      <c r="I22" s="80">
        <f>'Operating model'!I55</f>
        <v>879.51770188149021</v>
      </c>
      <c r="J22" s="80">
        <f>'Operating model'!J55</f>
        <v>866.99687096949856</v>
      </c>
      <c r="K22" s="80">
        <f>'Operating model'!K55</f>
        <v>836.33583913572238</v>
      </c>
      <c r="L22" s="80">
        <f>'Operating model'!L55</f>
        <v>755.28155114064703</v>
      </c>
      <c r="M22" s="80">
        <f>'Operating model'!M55</f>
        <v>673.80594501362975</v>
      </c>
      <c r="N22" s="80">
        <f>'Operating model'!N55</f>
        <v>498.72212366832719</v>
      </c>
      <c r="O22" s="80">
        <f>'Operating model'!O55</f>
        <v>281.85269161549513</v>
      </c>
    </row>
    <row r="23" spans="1:24" x14ac:dyDescent="0.2">
      <c r="E23" s="48"/>
    </row>
    <row r="24" spans="1:24" x14ac:dyDescent="0.2">
      <c r="A24" s="45" t="s">
        <v>211</v>
      </c>
      <c r="B24" s="22"/>
      <c r="C24" s="22"/>
      <c r="D24" s="66">
        <f>D16+D18+D20-D22</f>
        <v>69.836897792549053</v>
      </c>
      <c r="E24" s="95">
        <f t="shared" ref="E24:O24" si="3">E16+E18+E20-E22</f>
        <v>-757.56111246229761</v>
      </c>
      <c r="F24" s="66">
        <f t="shared" si="3"/>
        <v>-1118.2795335204669</v>
      </c>
      <c r="G24" s="66">
        <f t="shared" si="3"/>
        <v>-1238.9169318530453</v>
      </c>
      <c r="H24" s="66">
        <f t="shared" si="3"/>
        <v>451.89112701861177</v>
      </c>
      <c r="I24" s="66">
        <f t="shared" si="3"/>
        <v>1297.7044442316087</v>
      </c>
      <c r="J24" s="66">
        <f t="shared" si="3"/>
        <v>2170.6066254911075</v>
      </c>
      <c r="K24" s="66">
        <f t="shared" si="3"/>
        <v>3154.4255297485679</v>
      </c>
      <c r="L24" s="66">
        <f t="shared" si="3"/>
        <v>4307.0422475286259</v>
      </c>
      <c r="M24" s="66">
        <f t="shared" si="3"/>
        <v>5107.6029778874417</v>
      </c>
      <c r="N24" s="66">
        <f t="shared" si="3"/>
        <v>5956.3873494482959</v>
      </c>
      <c r="O24" s="67">
        <f t="shared" si="3"/>
        <v>6568.6195109571254</v>
      </c>
    </row>
    <row r="25" spans="1:24" x14ac:dyDescent="0.2">
      <c r="A25" s="46" t="s">
        <v>226</v>
      </c>
      <c r="B25" s="94"/>
      <c r="C25" s="94"/>
      <c r="D25" s="94"/>
      <c r="E25" s="96"/>
      <c r="F25" s="97">
        <f t="shared" ref="F25:O25" si="4">F24/F27</f>
        <v>-999.99173046887245</v>
      </c>
      <c r="G25" s="97">
        <f t="shared" si="4"/>
        <v>-992.96051581179722</v>
      </c>
      <c r="H25" s="97">
        <f t="shared" si="4"/>
        <v>325.36241952504389</v>
      </c>
      <c r="I25" s="97">
        <f t="shared" si="4"/>
        <v>841.3089006545722</v>
      </c>
      <c r="J25" s="97">
        <f t="shared" si="4"/>
        <v>1270.0229935512884</v>
      </c>
      <c r="K25" s="97">
        <f t="shared" si="4"/>
        <v>1669.584819375011</v>
      </c>
      <c r="L25" s="97">
        <f t="shared" si="4"/>
        <v>2066.9711260428371</v>
      </c>
      <c r="M25" s="97">
        <f t="shared" si="4"/>
        <v>2227.6715159178912</v>
      </c>
      <c r="N25" s="97">
        <f t="shared" si="4"/>
        <v>2366.5175493480483</v>
      </c>
      <c r="O25" s="98">
        <f t="shared" si="4"/>
        <v>2382.9234273169754</v>
      </c>
    </row>
    <row r="27" spans="1:24" x14ac:dyDescent="0.2">
      <c r="A27" t="s">
        <v>252</v>
      </c>
      <c r="F27" s="40">
        <f>1+F4</f>
        <v>1.1182887812443529</v>
      </c>
      <c r="G27" s="40">
        <f t="shared" ref="G27:O27" si="5" xml:space="preserve"> F27*(1+G4)</f>
        <v>1.2477000969571945</v>
      </c>
      <c r="H27" s="40">
        <f t="shared" si="5"/>
        <v>1.3888854394378778</v>
      </c>
      <c r="I27" s="40">
        <f t="shared" si="5"/>
        <v>1.5424827233159455</v>
      </c>
      <c r="J27" s="40">
        <f t="shared" si="5"/>
        <v>1.7091081315162426</v>
      </c>
      <c r="K27" s="40">
        <f t="shared" si="5"/>
        <v>1.8893472755276903</v>
      </c>
      <c r="L27" s="40">
        <f t="shared" si="5"/>
        <v>2.0837457249702114</v>
      </c>
      <c r="M27" s="40">
        <f t="shared" si="5"/>
        <v>2.2927989792888752</v>
      </c>
      <c r="N27" s="40">
        <f t="shared" si="5"/>
        <v>2.5169419728534108</v>
      </c>
      <c r="O27" s="40">
        <f t="shared" si="5"/>
        <v>2.7565382234514288</v>
      </c>
    </row>
    <row r="31" spans="1:24" x14ac:dyDescent="0.2">
      <c r="A31" t="s">
        <v>227</v>
      </c>
      <c r="C31" s="39">
        <f>(O24*(1+B6))/(B5-B6)</f>
        <v>103778.58262983352</v>
      </c>
      <c r="R31" s="109" t="s">
        <v>289</v>
      </c>
      <c r="S31" s="109"/>
      <c r="T31" s="109"/>
      <c r="U31" s="109"/>
      <c r="V31" s="109"/>
      <c r="W31" s="109"/>
      <c r="X31" s="109"/>
    </row>
    <row r="32" spans="1:24" x14ac:dyDescent="0.2">
      <c r="A32" t="s">
        <v>228</v>
      </c>
      <c r="C32" s="39">
        <f>C31/O27</f>
        <v>37648.156570777959</v>
      </c>
    </row>
    <row r="33" spans="1:24" x14ac:dyDescent="0.2">
      <c r="A33" t="s">
        <v>229</v>
      </c>
      <c r="C33" s="39">
        <f>SUM(F25:O25)</f>
        <v>11157.410505450996</v>
      </c>
      <c r="T33" s="42" t="s">
        <v>181</v>
      </c>
    </row>
    <row r="34" spans="1:24" x14ac:dyDescent="0.2">
      <c r="S34" s="108">
        <f>C45</f>
        <v>241.20468942703616</v>
      </c>
      <c r="T34" s="40">
        <v>2.5000000000000001E-2</v>
      </c>
      <c r="U34" s="40">
        <v>2.75E-2</v>
      </c>
      <c r="V34" s="40">
        <v>0.03</v>
      </c>
      <c r="W34" s="40">
        <v>3.2500000000000001E-2</v>
      </c>
      <c r="X34" s="40">
        <v>3.5000000000000003E-2</v>
      </c>
    </row>
    <row r="35" spans="1:24" x14ac:dyDescent="0.2">
      <c r="A35" s="44" t="s">
        <v>230</v>
      </c>
      <c r="B35" s="44"/>
      <c r="C35" s="44">
        <f>C32+C33</f>
        <v>48805.567076228952</v>
      </c>
      <c r="R35" s="42" t="s">
        <v>266</v>
      </c>
      <c r="S35" s="40">
        <v>8.5199999999999998E-2</v>
      </c>
      <c r="T35" s="110">
        <f t="dataTable" ref="T35:X39" dt2D="1" dtr="1" r1="B6" r2="B5" ca="1"/>
        <v>269.98753952243942</v>
      </c>
      <c r="U35" s="111">
        <v>278.77613034821871</v>
      </c>
      <c r="V35" s="111">
        <v>288.35959665276857</v>
      </c>
      <c r="W35" s="111">
        <v>298.85105935170293</v>
      </c>
      <c r="X35" s="112">
        <v>310.38617340621067</v>
      </c>
    </row>
    <row r="36" spans="1:24" x14ac:dyDescent="0.2">
      <c r="S36" s="40">
        <v>9.0200000000000002E-2</v>
      </c>
      <c r="T36" s="113">
        <v>247.74151754279393</v>
      </c>
      <c r="U36" s="110">
        <v>254.97693136934748</v>
      </c>
      <c r="V36" s="111">
        <v>262.81222550114649</v>
      </c>
      <c r="W36" s="112">
        <v>271.32537239549055</v>
      </c>
      <c r="X36" s="114">
        <v>280.60846995363676</v>
      </c>
    </row>
    <row r="37" spans="1:24" x14ac:dyDescent="0.2">
      <c r="A37" t="s">
        <v>231</v>
      </c>
      <c r="C37" s="64">
        <f>'Consolidated Balance Sheet'!C6+'Consolidated Balance Sheet'!C8</f>
        <v>1987.018</v>
      </c>
      <c r="S37" s="40">
        <v>9.5200000000000007E-2</v>
      </c>
      <c r="T37" s="113">
        <v>228.6608738392537</v>
      </c>
      <c r="U37" s="113">
        <v>234.688928846137</v>
      </c>
      <c r="V37" s="122">
        <v>241.17829548605613</v>
      </c>
      <c r="W37" s="114">
        <v>248.18415315331023</v>
      </c>
      <c r="X37" s="114">
        <v>255.77084725346398</v>
      </c>
    </row>
    <row r="38" spans="1:24" x14ac:dyDescent="0.2">
      <c r="A38" t="s">
        <v>169</v>
      </c>
      <c r="C38" s="64">
        <f>'Consolidated Balance Sheet'!C23+'Consolidated Balance Sheet'!C30</f>
        <v>3222.2240000000002</v>
      </c>
      <c r="S38" s="40">
        <v>0.1002</v>
      </c>
      <c r="T38" s="113">
        <v>212.11432340759632</v>
      </c>
      <c r="U38" s="115">
        <v>217.18778655478442</v>
      </c>
      <c r="V38" s="116">
        <v>222.62173465156138</v>
      </c>
      <c r="W38" s="117">
        <v>228.45610196852255</v>
      </c>
      <c r="X38" s="114">
        <v>234.73694766342331</v>
      </c>
    </row>
    <row r="39" spans="1:24" x14ac:dyDescent="0.2">
      <c r="A39" t="s">
        <v>240</v>
      </c>
      <c r="C39" s="64">
        <f>'Consolidated Balance Sheet'!C44</f>
        <v>334.70499999999998</v>
      </c>
      <c r="S39" s="40">
        <v>0.1052</v>
      </c>
      <c r="T39" s="115">
        <v>197.62800621544594</v>
      </c>
      <c r="U39" s="116">
        <v>201.93560960132419</v>
      </c>
      <c r="V39" s="116">
        <v>206.52882729363404</v>
      </c>
      <c r="W39" s="116">
        <v>211.43712315020662</v>
      </c>
      <c r="X39" s="117">
        <v>216.69415815874257</v>
      </c>
    </row>
    <row r="41" spans="1:24" x14ac:dyDescent="0.2">
      <c r="A41" s="42" t="s">
        <v>232</v>
      </c>
      <c r="C41" s="39">
        <f>C35+C37-C38-C39</f>
        <v>47235.656076228945</v>
      </c>
    </row>
    <row r="43" spans="1:24" x14ac:dyDescent="0.2">
      <c r="A43" t="s">
        <v>233</v>
      </c>
      <c r="C43" s="41">
        <v>195.832246</v>
      </c>
    </row>
    <row r="45" spans="1:24" x14ac:dyDescent="0.2">
      <c r="A45" s="42" t="s">
        <v>234</v>
      </c>
      <c r="C45" s="44">
        <f>C41/C43</f>
        <v>241.20468942703616</v>
      </c>
    </row>
    <row r="48" spans="1:24" x14ac:dyDescent="0.2">
      <c r="H48" s="40"/>
    </row>
    <row r="49" spans="1:8" x14ac:dyDescent="0.2">
      <c r="A49" s="42"/>
    </row>
    <row r="50" spans="1:8" x14ac:dyDescent="0.2">
      <c r="C50" s="108"/>
      <c r="D50" s="40"/>
      <c r="E50" s="40"/>
      <c r="F50" s="40"/>
      <c r="G50" s="40"/>
      <c r="H50" s="40"/>
    </row>
    <row r="51" spans="1:8" x14ac:dyDescent="0.2">
      <c r="C51" s="40"/>
      <c r="D51" s="39"/>
      <c r="E51" s="39"/>
      <c r="F51" s="39"/>
      <c r="G51" s="39"/>
      <c r="H51" s="39"/>
    </row>
    <row r="52" spans="1:8" x14ac:dyDescent="0.2">
      <c r="C52" s="40"/>
      <c r="D52" s="39"/>
      <c r="E52" s="39"/>
      <c r="F52" s="39"/>
      <c r="G52" s="39"/>
      <c r="H52" s="39"/>
    </row>
    <row r="53" spans="1:8" x14ac:dyDescent="0.2">
      <c r="C53" s="40"/>
      <c r="D53" s="39"/>
      <c r="E53" s="39"/>
      <c r="F53" s="39"/>
      <c r="G53" s="39"/>
      <c r="H53" s="39"/>
    </row>
    <row r="54" spans="1:8" x14ac:dyDescent="0.2">
      <c r="C54" s="40"/>
      <c r="D54" s="39"/>
      <c r="E54" s="39"/>
      <c r="F54" s="39"/>
      <c r="G54" s="39"/>
      <c r="H54" s="39"/>
    </row>
    <row r="55" spans="1:8" x14ac:dyDescent="0.2">
      <c r="C55" s="40"/>
      <c r="D55" s="39"/>
      <c r="E55" s="39"/>
      <c r="F55" s="39"/>
      <c r="G55" s="39"/>
      <c r="H55" s="39"/>
    </row>
    <row r="56" spans="1:8" x14ac:dyDescent="0.2">
      <c r="C56" s="40"/>
    </row>
    <row r="57" spans="1:8" x14ac:dyDescent="0.2">
      <c r="B57" s="40"/>
    </row>
  </sheetData>
  <pageMargins left="0.7" right="0.7" top="0.75" bottom="0.75" header="0.3" footer="0.3"/>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2975-810D-3648-A2BB-48FCACACE707}">
  <dimension ref="A2:F45"/>
  <sheetViews>
    <sheetView showGridLines="0" topLeftCell="A6" workbookViewId="0">
      <selection activeCell="F37" sqref="F37"/>
    </sheetView>
  </sheetViews>
  <sheetFormatPr baseColWidth="10" defaultRowHeight="15" x14ac:dyDescent="0.2"/>
  <sheetData>
    <row r="2" spans="1:6" x14ac:dyDescent="0.2">
      <c r="A2" t="s">
        <v>239</v>
      </c>
      <c r="C2" s="64">
        <f>WACC!D4</f>
        <v>57770.59</v>
      </c>
    </row>
    <row r="3" spans="1:6" x14ac:dyDescent="0.2">
      <c r="C3" s="39"/>
    </row>
    <row r="4" spans="1:6" x14ac:dyDescent="0.2">
      <c r="A4" t="s">
        <v>169</v>
      </c>
      <c r="C4" s="64">
        <f>DCF!C38</f>
        <v>3222.2240000000002</v>
      </c>
    </row>
    <row r="5" spans="1:6" x14ac:dyDescent="0.2">
      <c r="A5" t="s">
        <v>231</v>
      </c>
      <c r="C5" s="64">
        <f>DCF!C37</f>
        <v>1987.018</v>
      </c>
    </row>
    <row r="6" spans="1:6" x14ac:dyDescent="0.2">
      <c r="A6" t="s">
        <v>240</v>
      </c>
      <c r="C6" s="105">
        <f>DCF!C39</f>
        <v>334.70499999999998</v>
      </c>
    </row>
    <row r="8" spans="1:6" x14ac:dyDescent="0.2">
      <c r="A8" t="s">
        <v>230</v>
      </c>
      <c r="C8" s="39">
        <f>C2+C4+C6-C5</f>
        <v>59340.501000000004</v>
      </c>
      <c r="D8" s="39"/>
    </row>
    <row r="10" spans="1:6" x14ac:dyDescent="0.2">
      <c r="A10" s="12"/>
      <c r="B10" s="13">
        <v>2026</v>
      </c>
      <c r="C10" s="14">
        <v>2027</v>
      </c>
      <c r="D10" s="14">
        <v>2028</v>
      </c>
      <c r="E10" s="100"/>
      <c r="F10" s="101"/>
    </row>
    <row r="12" spans="1:6" x14ac:dyDescent="0.2">
      <c r="A12" s="42" t="s">
        <v>242</v>
      </c>
      <c r="B12" s="39"/>
      <c r="C12" s="39"/>
      <c r="D12" s="39"/>
    </row>
    <row r="13" spans="1:6" x14ac:dyDescent="0.2">
      <c r="A13" t="s">
        <v>243</v>
      </c>
      <c r="B13" s="39">
        <f>C8</f>
        <v>59340.501000000004</v>
      </c>
      <c r="C13" s="39"/>
      <c r="D13" s="39"/>
    </row>
    <row r="14" spans="1:6" x14ac:dyDescent="0.2">
      <c r="A14" t="s">
        <v>244</v>
      </c>
      <c r="C14" s="41">
        <v>2845.1</v>
      </c>
      <c r="D14" s="41">
        <v>4140.07</v>
      </c>
    </row>
    <row r="15" spans="1:6" x14ac:dyDescent="0.2">
      <c r="A15" t="s">
        <v>241</v>
      </c>
      <c r="B15" s="39"/>
      <c r="C15" s="39">
        <f>Estimates!F39+Estimates!F63</f>
        <v>2334.4699870274785</v>
      </c>
      <c r="D15" s="39">
        <f>Estimates!G39+Estimates!G63</f>
        <v>3383.9532003141212</v>
      </c>
    </row>
    <row r="17" spans="1:5" x14ac:dyDescent="0.2">
      <c r="A17" s="44" t="s">
        <v>245</v>
      </c>
      <c r="B17" s="44"/>
      <c r="C17" s="44">
        <f>$B$13/C14</f>
        <v>20.857087975818075</v>
      </c>
      <c r="D17" s="44">
        <f>$B$13/D14</f>
        <v>14.33321199883094</v>
      </c>
    </row>
    <row r="18" spans="1:5" x14ac:dyDescent="0.2">
      <c r="A18" s="44" t="s">
        <v>246</v>
      </c>
      <c r="B18" s="44"/>
      <c r="C18" s="44">
        <f>$B$13/C15</f>
        <v>25.419260615793696</v>
      </c>
      <c r="D18" s="44">
        <f>$B$13/D15</f>
        <v>17.535851558021434</v>
      </c>
    </row>
    <row r="19" spans="1:5" x14ac:dyDescent="0.2">
      <c r="E19" s="39"/>
    </row>
    <row r="20" spans="1:5" x14ac:dyDescent="0.2">
      <c r="A20" s="42" t="s">
        <v>177</v>
      </c>
      <c r="B20" s="39"/>
      <c r="C20" s="39"/>
      <c r="D20" s="39"/>
    </row>
    <row r="21" spans="1:5" x14ac:dyDescent="0.2">
      <c r="A21" t="s">
        <v>243</v>
      </c>
      <c r="B21" s="41">
        <v>82929.850000000006</v>
      </c>
      <c r="C21" s="39"/>
      <c r="D21" s="39"/>
    </row>
    <row r="22" spans="1:5" x14ac:dyDescent="0.2">
      <c r="A22" t="s">
        <v>244</v>
      </c>
      <c r="B22" s="39"/>
      <c r="C22" s="41">
        <v>2782.78</v>
      </c>
      <c r="D22" s="41">
        <v>4396.67</v>
      </c>
    </row>
    <row r="23" spans="1:5" x14ac:dyDescent="0.2">
      <c r="B23" s="39"/>
      <c r="C23" s="39"/>
      <c r="D23" s="39"/>
    </row>
    <row r="24" spans="1:5" x14ac:dyDescent="0.2">
      <c r="A24" s="44" t="s">
        <v>245</v>
      </c>
      <c r="B24" s="44"/>
      <c r="C24" s="44">
        <f>$B$21/C22</f>
        <v>29.80108021474928</v>
      </c>
      <c r="D24" s="44">
        <f>$B$21/D22</f>
        <v>18.861968262344003</v>
      </c>
    </row>
    <row r="26" spans="1:5" x14ac:dyDescent="0.2">
      <c r="A26" s="42" t="s">
        <v>178</v>
      </c>
      <c r="B26" s="39"/>
      <c r="C26" s="39"/>
      <c r="D26" s="39"/>
    </row>
    <row r="27" spans="1:5" x14ac:dyDescent="0.2">
      <c r="A27" t="s">
        <v>243</v>
      </c>
      <c r="B27" s="41">
        <v>16461.150000000001</v>
      </c>
      <c r="C27" s="39"/>
      <c r="D27" s="39"/>
    </row>
    <row r="28" spans="1:5" x14ac:dyDescent="0.2">
      <c r="A28" t="s">
        <v>244</v>
      </c>
      <c r="B28" s="39"/>
      <c r="C28" s="41">
        <v>773.6</v>
      </c>
      <c r="D28" s="41">
        <v>944.63</v>
      </c>
    </row>
    <row r="29" spans="1:5" x14ac:dyDescent="0.2">
      <c r="B29" s="39"/>
      <c r="C29" s="39"/>
      <c r="D29" s="39"/>
    </row>
    <row r="30" spans="1:5" x14ac:dyDescent="0.2">
      <c r="A30" s="44" t="s">
        <v>245</v>
      </c>
      <c r="B30" s="44"/>
      <c r="C30" s="44">
        <f>$B$27/C28</f>
        <v>21.278632368148916</v>
      </c>
      <c r="D30" s="44">
        <f>$B$27/D28</f>
        <v>17.426029238961288</v>
      </c>
    </row>
    <row r="32" spans="1:5" x14ac:dyDescent="0.2">
      <c r="A32" s="42" t="s">
        <v>179</v>
      </c>
      <c r="B32" s="39"/>
      <c r="C32" s="39"/>
      <c r="D32" s="39"/>
    </row>
    <row r="33" spans="1:4" x14ac:dyDescent="0.2">
      <c r="A33" t="s">
        <v>243</v>
      </c>
      <c r="B33" s="41">
        <v>79068.2</v>
      </c>
      <c r="C33" s="39"/>
      <c r="D33" s="39"/>
    </row>
    <row r="34" spans="1:4" x14ac:dyDescent="0.2">
      <c r="A34" t="s">
        <v>244</v>
      </c>
      <c r="C34" s="41">
        <v>1989.95</v>
      </c>
      <c r="D34" s="41">
        <v>2852.84</v>
      </c>
    </row>
    <row r="36" spans="1:4" x14ac:dyDescent="0.2">
      <c r="A36" s="44" t="s">
        <v>245</v>
      </c>
      <c r="B36" s="44"/>
      <c r="C36" s="44">
        <f>$B$33/C34</f>
        <v>39.733762154828007</v>
      </c>
      <c r="D36" s="44">
        <f>$B$33/D34</f>
        <v>27.715609708220576</v>
      </c>
    </row>
    <row r="40" spans="1:4" x14ac:dyDescent="0.2">
      <c r="A40" s="45" t="s">
        <v>248</v>
      </c>
      <c r="B40" s="22"/>
      <c r="C40" s="66">
        <f>AVERAGE(C24,C30,C36)</f>
        <v>30.271158245908737</v>
      </c>
      <c r="D40" s="67">
        <f>AVERAGE(D24,D30,D36)</f>
        <v>21.334535736508624</v>
      </c>
    </row>
    <row r="41" spans="1:4" x14ac:dyDescent="0.2">
      <c r="A41" s="46" t="s">
        <v>247</v>
      </c>
      <c r="B41" s="94"/>
      <c r="C41" s="97">
        <f>MEDIAN(C24,C30,C36)</f>
        <v>29.80108021474928</v>
      </c>
      <c r="D41" s="98">
        <f>MEDIAN(D24,D30,D36)</f>
        <v>18.861968262344003</v>
      </c>
    </row>
    <row r="45" spans="1:4" x14ac:dyDescent="0.2">
      <c r="A45" s="42" t="s">
        <v>249</v>
      </c>
      <c r="B45" s="42"/>
      <c r="C45" s="44">
        <f>DCF!C35/'Cross-check'!D15</f>
        <v>14.422648360414232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7D9A-868E-AD44-BD1F-F84170F317EB}">
  <dimension ref="A2:O36"/>
  <sheetViews>
    <sheetView showGridLines="0" workbookViewId="0">
      <selection activeCell="J26" sqref="J26"/>
    </sheetView>
  </sheetViews>
  <sheetFormatPr baseColWidth="10" defaultRowHeight="15" x14ac:dyDescent="0.2"/>
  <cols>
    <col min="3" max="3" width="13.6640625" bestFit="1" customWidth="1"/>
  </cols>
  <sheetData>
    <row r="2" spans="1:15" x14ac:dyDescent="0.2">
      <c r="A2" s="74" t="s">
        <v>253</v>
      </c>
      <c r="B2" s="73"/>
      <c r="C2" s="73"/>
      <c r="D2" s="73"/>
      <c r="E2" s="73"/>
      <c r="F2" s="73"/>
      <c r="G2" s="73"/>
      <c r="H2" s="73"/>
      <c r="I2" s="73"/>
      <c r="J2" s="73"/>
    </row>
    <row r="4" spans="1:15" x14ac:dyDescent="0.2">
      <c r="A4" s="12" t="s">
        <v>254</v>
      </c>
      <c r="B4" s="12"/>
      <c r="C4" s="12" t="s">
        <v>230</v>
      </c>
      <c r="D4" s="12"/>
      <c r="E4" s="12" t="s">
        <v>257</v>
      </c>
      <c r="F4" s="12"/>
      <c r="G4" s="12"/>
      <c r="H4" s="12"/>
      <c r="I4" s="12" t="s">
        <v>258</v>
      </c>
      <c r="J4" s="12"/>
      <c r="K4" s="106"/>
      <c r="L4" s="106"/>
      <c r="M4" s="106"/>
      <c r="N4" s="106"/>
      <c r="O4" s="106"/>
    </row>
    <row r="6" spans="1:15" x14ac:dyDescent="0.2">
      <c r="A6" t="s">
        <v>242</v>
      </c>
      <c r="C6" s="39">
        <f>I25*E6</f>
        <v>80392.835007161528</v>
      </c>
      <c r="E6" s="64">
        <f>'Cross-check'!C14</f>
        <v>2845.1</v>
      </c>
    </row>
    <row r="7" spans="1:15" x14ac:dyDescent="0.2">
      <c r="C7" s="39">
        <f>I25*E7</f>
        <v>65964.170150880673</v>
      </c>
      <c r="E7" s="64">
        <f>'Cross-check'!C15</f>
        <v>2334.4699870274785</v>
      </c>
    </row>
    <row r="9" spans="1:15" x14ac:dyDescent="0.2">
      <c r="A9" t="s">
        <v>177</v>
      </c>
      <c r="C9" s="64">
        <f>'Cross-check'!B21</f>
        <v>82929.850000000006</v>
      </c>
      <c r="D9" s="105"/>
      <c r="E9" s="64">
        <f>'Cross-check'!C22</f>
        <v>2782.78</v>
      </c>
      <c r="I9" s="39">
        <f>C9/E9</f>
        <v>29.80108021474928</v>
      </c>
    </row>
    <row r="10" spans="1:15" x14ac:dyDescent="0.2">
      <c r="C10" s="105"/>
      <c r="D10" s="105"/>
      <c r="E10" s="105"/>
      <c r="I10" s="39"/>
    </row>
    <row r="11" spans="1:15" x14ac:dyDescent="0.2">
      <c r="A11" t="s">
        <v>178</v>
      </c>
      <c r="C11" s="64">
        <f>'Cross-check'!B27</f>
        <v>16461.150000000001</v>
      </c>
      <c r="D11" s="105"/>
      <c r="E11" s="64">
        <f>'Cross-check'!C28</f>
        <v>773.6</v>
      </c>
      <c r="I11" s="39">
        <f t="shared" ref="I11:I17" si="0">C11/E11</f>
        <v>21.278632368148916</v>
      </c>
    </row>
    <row r="12" spans="1:15" x14ac:dyDescent="0.2">
      <c r="C12" s="105"/>
      <c r="D12" s="105"/>
      <c r="E12" s="105"/>
      <c r="I12" s="39"/>
    </row>
    <row r="13" spans="1:15" x14ac:dyDescent="0.2">
      <c r="A13" t="s">
        <v>179</v>
      </c>
      <c r="C13" s="64">
        <f>'Cross-check'!B33</f>
        <v>79068.2</v>
      </c>
      <c r="D13" s="105"/>
      <c r="E13" s="64">
        <f>'Cross-check'!C34</f>
        <v>1989.95</v>
      </c>
      <c r="I13" s="39">
        <f t="shared" si="0"/>
        <v>39.733762154828007</v>
      </c>
    </row>
    <row r="14" spans="1:15" x14ac:dyDescent="0.2">
      <c r="I14" s="39"/>
    </row>
    <row r="15" spans="1:15" x14ac:dyDescent="0.2">
      <c r="A15" t="s">
        <v>255</v>
      </c>
      <c r="C15" s="41">
        <v>2272.84</v>
      </c>
      <c r="D15" s="41"/>
      <c r="E15" s="41">
        <v>89.91</v>
      </c>
      <c r="I15" s="39">
        <f t="shared" si="0"/>
        <v>25.279056834612394</v>
      </c>
    </row>
    <row r="16" spans="1:15" x14ac:dyDescent="0.2">
      <c r="C16" s="41"/>
      <c r="D16" s="41"/>
      <c r="E16" s="41"/>
      <c r="I16" s="39"/>
    </row>
    <row r="17" spans="1:9" x14ac:dyDescent="0.2">
      <c r="A17" t="s">
        <v>256</v>
      </c>
      <c r="C17" s="41">
        <v>14602.05</v>
      </c>
      <c r="D17" s="41"/>
      <c r="E17" s="41">
        <v>907</v>
      </c>
      <c r="I17" s="39">
        <f t="shared" si="0"/>
        <v>16.09928335170893</v>
      </c>
    </row>
    <row r="18" spans="1:9" x14ac:dyDescent="0.2">
      <c r="I18" s="39"/>
    </row>
    <row r="19" spans="1:9" x14ac:dyDescent="0.2">
      <c r="A19" s="42" t="s">
        <v>259</v>
      </c>
      <c r="B19" s="42"/>
      <c r="C19" s="42"/>
      <c r="D19" s="42"/>
      <c r="E19" s="42"/>
      <c r="F19" s="42"/>
      <c r="G19" s="42"/>
      <c r="H19" s="42"/>
      <c r="I19" s="44">
        <f>AVERAGE(I9,I11,I13)</f>
        <v>30.271158245908737</v>
      </c>
    </row>
    <row r="20" spans="1:9" x14ac:dyDescent="0.2">
      <c r="A20" s="42" t="s">
        <v>260</v>
      </c>
      <c r="B20" s="42"/>
      <c r="C20" s="42"/>
      <c r="D20" s="42"/>
      <c r="E20" s="42"/>
      <c r="F20" s="42"/>
      <c r="G20" s="42"/>
      <c r="H20" s="42"/>
      <c r="I20" s="44">
        <f>MEDIAN(I9,I11,I13)</f>
        <v>29.80108021474928</v>
      </c>
    </row>
    <row r="22" spans="1:9" x14ac:dyDescent="0.2">
      <c r="A22" s="42" t="s">
        <v>265</v>
      </c>
      <c r="B22" s="42"/>
      <c r="C22" s="42"/>
      <c r="D22" s="42"/>
      <c r="E22" s="42"/>
      <c r="F22" s="42"/>
      <c r="G22" s="42"/>
      <c r="H22" s="42"/>
      <c r="I22" s="44">
        <f>AVERAGE(I15,I17)</f>
        <v>20.689170093160662</v>
      </c>
    </row>
    <row r="23" spans="1:9" x14ac:dyDescent="0.2">
      <c r="A23" s="42" t="s">
        <v>261</v>
      </c>
      <c r="B23" s="42"/>
      <c r="C23" s="42"/>
      <c r="D23" s="42"/>
      <c r="E23" s="42"/>
      <c r="F23" s="42"/>
      <c r="G23" s="42"/>
      <c r="H23" s="42"/>
      <c r="I23" s="44">
        <f>MEDIAN(I15,I17)</f>
        <v>20.689170093160662</v>
      </c>
    </row>
    <row r="25" spans="1:9" x14ac:dyDescent="0.2">
      <c r="A25" s="42" t="s">
        <v>264</v>
      </c>
      <c r="I25" s="44">
        <f>('Operating model'!F11*Comps!I20)+('Operating model'!F15*Comps!I23)</f>
        <v>28.256593795353954</v>
      </c>
    </row>
    <row r="29" spans="1:9" x14ac:dyDescent="0.2">
      <c r="A29" t="s">
        <v>231</v>
      </c>
      <c r="C29" s="64">
        <f>DCF!C37</f>
        <v>1987.018</v>
      </c>
    </row>
    <row r="30" spans="1:9" x14ac:dyDescent="0.2">
      <c r="A30" t="s">
        <v>169</v>
      </c>
      <c r="C30" s="64">
        <f>DCF!C38</f>
        <v>3222.2240000000002</v>
      </c>
    </row>
    <row r="31" spans="1:9" x14ac:dyDescent="0.2">
      <c r="A31" t="s">
        <v>240</v>
      </c>
      <c r="C31" s="64">
        <f>DCF!C39</f>
        <v>334.70499999999998</v>
      </c>
    </row>
    <row r="33" spans="1:4" x14ac:dyDescent="0.2">
      <c r="A33" t="s">
        <v>262</v>
      </c>
      <c r="C33" s="39">
        <f>C6+C29-C30-C31</f>
        <v>78822.92400716152</v>
      </c>
      <c r="D33" s="39">
        <f>C7+C29-C30-C31</f>
        <v>64394.259150880665</v>
      </c>
    </row>
    <row r="34" spans="1:4" x14ac:dyDescent="0.2">
      <c r="A34" t="s">
        <v>233</v>
      </c>
      <c r="C34" s="105">
        <f>DCF!C43</f>
        <v>195.832246</v>
      </c>
      <c r="D34" s="105">
        <f>DCF!C43</f>
        <v>195.832246</v>
      </c>
    </row>
    <row r="36" spans="1:4" x14ac:dyDescent="0.2">
      <c r="A36" s="42" t="s">
        <v>263</v>
      </c>
      <c r="C36" s="44">
        <f>C33/C34</f>
        <v>402.50227231301591</v>
      </c>
      <c r="D36" s="44">
        <f>D33/D34</f>
        <v>328.82357459598694</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9"/>
  <sheetViews>
    <sheetView showGridLines="0" workbookViewId="0">
      <pane xSplit="1" ySplit="3" topLeftCell="B18" activePane="bottomRight" state="frozen"/>
      <selection pane="topRight"/>
      <selection pane="bottomLeft"/>
      <selection pane="bottomRight" activeCell="B6" sqref="B6"/>
    </sheetView>
  </sheetViews>
  <sheetFormatPr baseColWidth="10" defaultColWidth="8.83203125" defaultRowHeight="15" x14ac:dyDescent="0.2"/>
  <cols>
    <col min="1" max="1" width="75" customWidth="1"/>
    <col min="2" max="3" width="16" customWidth="1"/>
  </cols>
  <sheetData>
    <row r="1" spans="1:3" ht="16" customHeight="1" x14ac:dyDescent="0.2">
      <c r="A1" s="1" t="s">
        <v>6</v>
      </c>
    </row>
    <row r="3" spans="1:3" x14ac:dyDescent="0.2">
      <c r="A3" s="2" t="s">
        <v>7</v>
      </c>
      <c r="B3" s="3">
        <v>2025</v>
      </c>
      <c r="C3" s="3">
        <v>2026</v>
      </c>
    </row>
    <row r="4" spans="1:3" x14ac:dyDescent="0.2">
      <c r="A4" s="4" t="s">
        <v>8</v>
      </c>
      <c r="B4" s="4"/>
      <c r="C4" s="4"/>
    </row>
    <row r="5" spans="1:3" x14ac:dyDescent="0.2">
      <c r="A5" s="4" t="s">
        <v>9</v>
      </c>
      <c r="B5" s="4"/>
      <c r="C5" s="4"/>
    </row>
    <row r="6" spans="1:3" x14ac:dyDescent="0.2">
      <c r="A6" s="4" t="s">
        <v>10</v>
      </c>
      <c r="B6" s="5">
        <v>909.2</v>
      </c>
      <c r="C6" s="5">
        <v>1162.018</v>
      </c>
    </row>
    <row r="7" spans="1:3" x14ac:dyDescent="0.2">
      <c r="A7" s="4" t="s">
        <v>11</v>
      </c>
      <c r="B7" s="5">
        <v>8.8970000000000002</v>
      </c>
      <c r="C7" s="5">
        <v>35.155999999999999</v>
      </c>
    </row>
    <row r="8" spans="1:3" x14ac:dyDescent="0.2">
      <c r="A8" s="4" t="s">
        <v>12</v>
      </c>
      <c r="B8" s="17" t="s">
        <v>13</v>
      </c>
      <c r="C8" s="18">
        <v>825</v>
      </c>
    </row>
    <row r="9" spans="1:3" x14ac:dyDescent="0.2">
      <c r="A9" s="4" t="s">
        <v>14</v>
      </c>
      <c r="B9" s="5">
        <v>964.05100000000004</v>
      </c>
      <c r="C9" s="5">
        <v>1343.278</v>
      </c>
    </row>
    <row r="10" spans="1:3" x14ac:dyDescent="0.2">
      <c r="A10" s="4" t="s">
        <v>15</v>
      </c>
      <c r="B10" s="5">
        <v>1437.636</v>
      </c>
      <c r="C10" s="5">
        <v>2581.0430000000001</v>
      </c>
    </row>
    <row r="11" spans="1:3" x14ac:dyDescent="0.2">
      <c r="A11" s="4" t="s">
        <v>16</v>
      </c>
      <c r="B11" s="5">
        <v>55.773000000000003</v>
      </c>
      <c r="C11" s="5">
        <v>78.891999999999996</v>
      </c>
    </row>
    <row r="12" spans="1:3" x14ac:dyDescent="0.2">
      <c r="A12" s="4" t="s">
        <v>17</v>
      </c>
      <c r="B12" s="5">
        <v>551.59699999999998</v>
      </c>
      <c r="C12" s="5">
        <v>900.11199999999997</v>
      </c>
    </row>
    <row r="13" spans="1:3" x14ac:dyDescent="0.2">
      <c r="A13" s="6" t="s">
        <v>18</v>
      </c>
      <c r="B13" s="7">
        <v>3927.154</v>
      </c>
      <c r="C13" s="7">
        <v>6925.4989999999998</v>
      </c>
    </row>
    <row r="14" spans="1:3" x14ac:dyDescent="0.2">
      <c r="A14" s="4" t="s">
        <v>19</v>
      </c>
      <c r="B14" s="5">
        <v>1877.5070000000001</v>
      </c>
      <c r="C14" s="5">
        <v>2999.3429999999998</v>
      </c>
    </row>
    <row r="15" spans="1:3" x14ac:dyDescent="0.2">
      <c r="A15" s="4" t="s">
        <v>20</v>
      </c>
      <c r="B15" s="5">
        <v>4471.0839999999998</v>
      </c>
      <c r="C15" s="5">
        <v>4375.5969999999998</v>
      </c>
    </row>
    <row r="16" spans="1:3" x14ac:dyDescent="0.2">
      <c r="A16" s="4" t="s">
        <v>21</v>
      </c>
      <c r="B16" s="5">
        <v>3204.7469999999998</v>
      </c>
      <c r="C16" s="5">
        <v>2884.4740000000002</v>
      </c>
    </row>
    <row r="17" spans="1:3" x14ac:dyDescent="0.2">
      <c r="A17" s="4" t="s">
        <v>22</v>
      </c>
      <c r="B17" s="5">
        <v>53.406999999999996</v>
      </c>
      <c r="C17" s="5">
        <v>69.433999999999997</v>
      </c>
    </row>
    <row r="18" spans="1:3" x14ac:dyDescent="0.2">
      <c r="A18" s="4" t="s">
        <v>23</v>
      </c>
      <c r="B18" s="5">
        <v>714.81600000000003</v>
      </c>
      <c r="C18" s="5">
        <v>571.22199999999998</v>
      </c>
    </row>
    <row r="19" spans="1:3" x14ac:dyDescent="0.2">
      <c r="A19" s="4" t="s">
        <v>24</v>
      </c>
      <c r="B19" s="5">
        <v>662.221</v>
      </c>
      <c r="C19" s="5">
        <v>474.28300000000002</v>
      </c>
    </row>
    <row r="20" spans="1:3" x14ac:dyDescent="0.2">
      <c r="A20" s="6" t="s">
        <v>25</v>
      </c>
      <c r="B20" s="7">
        <v>14910.936</v>
      </c>
      <c r="C20" s="7">
        <v>18299.851999999999</v>
      </c>
    </row>
    <row r="21" spans="1:3" x14ac:dyDescent="0.2">
      <c r="A21" s="4" t="s">
        <v>26</v>
      </c>
      <c r="B21" s="4"/>
      <c r="C21" s="4"/>
    </row>
    <row r="22" spans="1:3" x14ac:dyDescent="0.2">
      <c r="A22" s="4" t="s">
        <v>27</v>
      </c>
      <c r="B22" s="4"/>
      <c r="C22" s="4"/>
    </row>
    <row r="23" spans="1:3" x14ac:dyDescent="0.2">
      <c r="A23" s="4" t="s">
        <v>28</v>
      </c>
      <c r="B23" s="5">
        <v>188.30600000000001</v>
      </c>
      <c r="C23" s="5">
        <v>7.9160000000000004</v>
      </c>
    </row>
    <row r="24" spans="1:3" x14ac:dyDescent="0.2">
      <c r="A24" s="4" t="s">
        <v>29</v>
      </c>
      <c r="B24" s="5">
        <v>846.98400000000004</v>
      </c>
      <c r="C24" s="5">
        <v>1905.357</v>
      </c>
    </row>
    <row r="25" spans="1:3" x14ac:dyDescent="0.2">
      <c r="A25" s="4" t="s">
        <v>30</v>
      </c>
      <c r="B25" s="5">
        <v>258.64999999999998</v>
      </c>
      <c r="C25" s="5">
        <v>358.04700000000003</v>
      </c>
    </row>
    <row r="26" spans="1:3" x14ac:dyDescent="0.2">
      <c r="A26" s="4" t="s">
        <v>31</v>
      </c>
      <c r="B26" s="5">
        <v>41.575000000000003</v>
      </c>
      <c r="C26" s="5">
        <v>61.371000000000002</v>
      </c>
    </row>
    <row r="27" spans="1:3" x14ac:dyDescent="0.2">
      <c r="A27" s="4" t="s">
        <v>32</v>
      </c>
      <c r="B27" s="5">
        <v>123.762</v>
      </c>
      <c r="C27" s="5">
        <v>173.24799999999999</v>
      </c>
    </row>
    <row r="28" spans="1:3" x14ac:dyDescent="0.2">
      <c r="A28" s="4" t="s">
        <v>33</v>
      </c>
      <c r="B28" s="5">
        <v>335.56400000000002</v>
      </c>
      <c r="C28" s="5">
        <v>347.99</v>
      </c>
    </row>
    <row r="29" spans="1:3" x14ac:dyDescent="0.2">
      <c r="A29" s="6" t="s">
        <v>34</v>
      </c>
      <c r="B29" s="7">
        <v>1794.8409999999999</v>
      </c>
      <c r="C29" s="7">
        <v>2853.9290000000001</v>
      </c>
    </row>
    <row r="30" spans="1:3" x14ac:dyDescent="0.2">
      <c r="A30" s="4" t="s">
        <v>35</v>
      </c>
      <c r="B30" s="5">
        <v>3498.6149999999998</v>
      </c>
      <c r="C30" s="5">
        <v>3214.308</v>
      </c>
    </row>
    <row r="31" spans="1:3" x14ac:dyDescent="0.2">
      <c r="A31" s="4" t="s">
        <v>22</v>
      </c>
      <c r="B31" s="5">
        <v>711.71699999999998</v>
      </c>
      <c r="C31" s="5">
        <v>540.61</v>
      </c>
    </row>
    <row r="32" spans="1:3" x14ac:dyDescent="0.2">
      <c r="A32" s="4" t="s">
        <v>36</v>
      </c>
      <c r="B32" s="5">
        <v>165.16200000000001</v>
      </c>
      <c r="C32" s="5">
        <v>254.839</v>
      </c>
    </row>
    <row r="33" spans="1:3" x14ac:dyDescent="0.2">
      <c r="A33" s="4" t="s">
        <v>37</v>
      </c>
      <c r="B33" s="5">
        <v>259.31799999999998</v>
      </c>
      <c r="C33" s="5">
        <v>197.96600000000001</v>
      </c>
    </row>
    <row r="34" spans="1:3" x14ac:dyDescent="0.2">
      <c r="A34" s="6" t="s">
        <v>38</v>
      </c>
      <c r="B34" s="7">
        <v>6429.6530000000002</v>
      </c>
      <c r="C34" s="7">
        <v>7061.652</v>
      </c>
    </row>
    <row r="35" spans="1:3" x14ac:dyDescent="0.2">
      <c r="A35" s="4" t="s">
        <v>39</v>
      </c>
      <c r="B35" s="4"/>
      <c r="C35" s="4"/>
    </row>
    <row r="36" spans="1:3" x14ac:dyDescent="0.2">
      <c r="A36" s="4" t="s">
        <v>40</v>
      </c>
      <c r="B36" s="18">
        <v>2483.261</v>
      </c>
      <c r="C36" s="17" t="s">
        <v>13</v>
      </c>
    </row>
    <row r="37" spans="1:3" x14ac:dyDescent="0.2">
      <c r="A37" s="4" t="s">
        <v>41</v>
      </c>
      <c r="B37" s="4"/>
      <c r="C37" s="4"/>
    </row>
    <row r="38" spans="1:3" x14ac:dyDescent="0.2">
      <c r="A38" s="4" t="s">
        <v>42</v>
      </c>
      <c r="B38" s="5">
        <v>5056.1679999999997</v>
      </c>
      <c r="C38" s="5">
        <v>9790.5959999999995</v>
      </c>
    </row>
    <row r="39" spans="1:3" x14ac:dyDescent="0.2">
      <c r="A39" s="4" t="s">
        <v>43</v>
      </c>
      <c r="B39" s="5">
        <v>372.03699999999998</v>
      </c>
      <c r="C39" s="5">
        <v>204.11199999999999</v>
      </c>
    </row>
    <row r="40" spans="1:3" x14ac:dyDescent="0.2">
      <c r="A40" s="4" t="s">
        <v>44</v>
      </c>
      <c r="B40" s="5">
        <v>584.37400000000002</v>
      </c>
      <c r="C40" s="5">
        <v>1354.27</v>
      </c>
    </row>
    <row r="41" spans="1:3" x14ac:dyDescent="0.2">
      <c r="A41" s="4"/>
      <c r="B41" s="5">
        <v>6012.5789999999997</v>
      </c>
      <c r="C41" s="5">
        <v>11348.977999999999</v>
      </c>
    </row>
    <row r="42" spans="1:3" x14ac:dyDescent="0.2">
      <c r="A42" s="4" t="s">
        <v>45</v>
      </c>
      <c r="B42" s="5">
        <v>-368.065</v>
      </c>
      <c r="C42" s="5">
        <v>-445.483</v>
      </c>
    </row>
    <row r="43" spans="1:3" x14ac:dyDescent="0.2">
      <c r="A43" s="6" t="s">
        <v>46</v>
      </c>
      <c r="B43" s="7">
        <v>5644.5140000000001</v>
      </c>
      <c r="C43" s="7">
        <v>10903.495000000001</v>
      </c>
    </row>
    <row r="44" spans="1:3" x14ac:dyDescent="0.2">
      <c r="A44" s="4" t="s">
        <v>47</v>
      </c>
      <c r="B44" s="5">
        <v>353.50799999999998</v>
      </c>
      <c r="C44" s="5">
        <v>334.70499999999998</v>
      </c>
    </row>
    <row r="45" spans="1:3" x14ac:dyDescent="0.2">
      <c r="A45" s="6" t="s">
        <v>48</v>
      </c>
      <c r="B45" s="7">
        <v>5998.0219999999999</v>
      </c>
      <c r="C45" s="7">
        <v>11238.2</v>
      </c>
    </row>
    <row r="46" spans="1:3" x14ac:dyDescent="0.2">
      <c r="A46" s="6" t="s">
        <v>49</v>
      </c>
      <c r="B46" s="7">
        <v>14910.936</v>
      </c>
      <c r="C46" s="7">
        <v>18299.851999999999</v>
      </c>
    </row>
    <row r="49" spans="1:1" x14ac:dyDescent="0.2">
      <c r="A49" s="8" t="s">
        <v>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showGridLines="0" workbookViewId="0">
      <pane xSplit="1" ySplit="3" topLeftCell="B4" activePane="bottomRight" state="frozen"/>
      <selection pane="topRight"/>
      <selection pane="bottomLeft"/>
      <selection pane="bottomRight" activeCell="D13" sqref="D13"/>
    </sheetView>
  </sheetViews>
  <sheetFormatPr baseColWidth="10" defaultColWidth="8.83203125" defaultRowHeight="15" x14ac:dyDescent="0.2"/>
  <cols>
    <col min="1" max="1" width="50.33203125" customWidth="1"/>
    <col min="2" max="4" width="16" customWidth="1"/>
  </cols>
  <sheetData>
    <row r="1" spans="1:4" ht="16" customHeight="1" x14ac:dyDescent="0.2">
      <c r="A1" s="1" t="s">
        <v>51</v>
      </c>
    </row>
    <row r="3" spans="1:4" x14ac:dyDescent="0.2">
      <c r="A3" s="2" t="s">
        <v>52</v>
      </c>
      <c r="B3" s="3">
        <v>2024</v>
      </c>
      <c r="C3" s="3">
        <v>2025</v>
      </c>
      <c r="D3" s="3">
        <v>2026</v>
      </c>
    </row>
    <row r="4" spans="1:4" x14ac:dyDescent="0.2">
      <c r="A4" s="4" t="s">
        <v>0</v>
      </c>
      <c r="B4" s="5">
        <v>4707.6880000000001</v>
      </c>
      <c r="C4" s="5">
        <v>5810.1149999999998</v>
      </c>
      <c r="D4" s="5">
        <v>7118.1809999999996</v>
      </c>
    </row>
    <row r="5" spans="1:4" x14ac:dyDescent="0.2">
      <c r="A5" s="4" t="s">
        <v>53</v>
      </c>
      <c r="B5" s="4"/>
      <c r="C5" s="4"/>
      <c r="D5" s="4"/>
    </row>
    <row r="6" spans="1:4" x14ac:dyDescent="0.2">
      <c r="A6" s="4" t="s">
        <v>54</v>
      </c>
      <c r="B6" s="5">
        <v>3251.7240000000002</v>
      </c>
      <c r="C6" s="5">
        <v>3766.7930000000001</v>
      </c>
      <c r="D6" s="5">
        <v>4449.1409999999996</v>
      </c>
    </row>
    <row r="7" spans="1:4" x14ac:dyDescent="0.2">
      <c r="A7" s="4" t="s">
        <v>55</v>
      </c>
      <c r="B7" s="5">
        <v>478.78800000000001</v>
      </c>
      <c r="C7" s="5">
        <v>581.92399999999998</v>
      </c>
      <c r="D7" s="5">
        <v>722.952</v>
      </c>
    </row>
    <row r="8" spans="1:4" x14ac:dyDescent="0.2">
      <c r="A8" s="4" t="s">
        <v>56</v>
      </c>
      <c r="B8" s="5">
        <v>854.00099999999998</v>
      </c>
      <c r="C8" s="5">
        <v>926.45100000000002</v>
      </c>
      <c r="D8" s="5">
        <v>1044.566</v>
      </c>
    </row>
    <row r="9" spans="1:4" x14ac:dyDescent="0.2">
      <c r="A9" s="4" t="s">
        <v>57</v>
      </c>
      <c r="B9" s="5">
        <v>27.053999999999998</v>
      </c>
      <c r="C9" s="5">
        <v>160.08099999999999</v>
      </c>
      <c r="D9" s="5">
        <v>63.39</v>
      </c>
    </row>
    <row r="10" spans="1:4" x14ac:dyDescent="0.2">
      <c r="A10" s="4" t="s">
        <v>58</v>
      </c>
      <c r="B10" s="17"/>
      <c r="C10" s="5">
        <v>84.988</v>
      </c>
      <c r="D10" s="89">
        <v>64.403999999999996</v>
      </c>
    </row>
    <row r="11" spans="1:4" x14ac:dyDescent="0.2">
      <c r="A11" s="4" t="s">
        <v>59</v>
      </c>
      <c r="B11" s="17"/>
      <c r="C11" s="4"/>
      <c r="D11" s="89">
        <v>-124.133</v>
      </c>
    </row>
    <row r="12" spans="1:4" x14ac:dyDescent="0.2">
      <c r="A12" s="4" t="s">
        <v>60</v>
      </c>
      <c r="B12" s="5">
        <v>288.47500000000002</v>
      </c>
      <c r="C12" s="5">
        <v>243.251</v>
      </c>
      <c r="D12" s="5">
        <v>190.267</v>
      </c>
    </row>
    <row r="13" spans="1:4" x14ac:dyDescent="0.2">
      <c r="A13" s="4" t="s">
        <v>61</v>
      </c>
      <c r="B13" s="5">
        <v>-44.707000000000001</v>
      </c>
      <c r="C13" s="5">
        <v>-47.554000000000002</v>
      </c>
      <c r="D13" s="5">
        <v>-140.13900000000001</v>
      </c>
    </row>
    <row r="14" spans="1:4" x14ac:dyDescent="0.2">
      <c r="A14" s="6" t="s">
        <v>62</v>
      </c>
      <c r="B14" s="7">
        <v>4855.335</v>
      </c>
      <c r="C14" s="7">
        <v>5715.9340000000002</v>
      </c>
      <c r="D14" s="7">
        <v>6270.4480000000003</v>
      </c>
    </row>
    <row r="15" spans="1:4" x14ac:dyDescent="0.2">
      <c r="A15" s="6" t="s">
        <v>63</v>
      </c>
      <c r="B15" s="7">
        <v>-147.64699999999999</v>
      </c>
      <c r="C15" s="7">
        <v>94.180999999999997</v>
      </c>
      <c r="D15" s="7">
        <v>847.73299999999995</v>
      </c>
    </row>
    <row r="16" spans="1:4" x14ac:dyDescent="0.2">
      <c r="A16" s="4" t="s">
        <v>64</v>
      </c>
      <c r="B16" s="5">
        <v>11.117000000000001</v>
      </c>
      <c r="C16" s="5">
        <v>64.123999999999995</v>
      </c>
      <c r="D16" s="5">
        <v>60.848999999999997</v>
      </c>
    </row>
    <row r="17" spans="1:4" x14ac:dyDescent="0.2">
      <c r="A17" s="6" t="s">
        <v>65</v>
      </c>
      <c r="B17" s="7">
        <v>-158.76400000000001</v>
      </c>
      <c r="C17" s="7">
        <v>30.056999999999999</v>
      </c>
      <c r="D17" s="7">
        <v>786.88400000000001</v>
      </c>
    </row>
    <row r="18" spans="1:4" x14ac:dyDescent="0.2">
      <c r="A18" s="4" t="s">
        <v>66</v>
      </c>
      <c r="B18" s="5">
        <v>-2.61</v>
      </c>
      <c r="C18" s="5">
        <v>-19.306999999999999</v>
      </c>
      <c r="D18" s="5">
        <v>-18.114000000000001</v>
      </c>
    </row>
    <row r="19" spans="1:4" x14ac:dyDescent="0.2">
      <c r="A19" s="6" t="s">
        <v>67</v>
      </c>
      <c r="B19" s="7">
        <v>-156.154</v>
      </c>
      <c r="C19" s="7">
        <v>49.363999999999997</v>
      </c>
      <c r="D19" s="7">
        <v>804.99800000000005</v>
      </c>
    </row>
    <row r="20" spans="1:4" x14ac:dyDescent="0.2">
      <c r="A20" s="4" t="s">
        <v>68</v>
      </c>
      <c r="B20" s="5">
        <v>123.357</v>
      </c>
      <c r="C20" s="5">
        <v>129.92599999999999</v>
      </c>
      <c r="D20" s="5">
        <v>35.101999999999997</v>
      </c>
    </row>
    <row r="21" spans="1:4" x14ac:dyDescent="0.2">
      <c r="A21" s="6" t="s">
        <v>69</v>
      </c>
      <c r="B21" s="7">
        <v>-279.51100000000002</v>
      </c>
      <c r="C21" s="7">
        <v>-80.561999999999998</v>
      </c>
      <c r="D21" s="7">
        <v>769.89599999999996</v>
      </c>
    </row>
    <row r="22" spans="1:4" x14ac:dyDescent="0.2">
      <c r="A22" s="4" t="s">
        <v>70</v>
      </c>
      <c r="B22" s="9">
        <v>-1.84</v>
      </c>
      <c r="C22" s="9">
        <v>-0.52</v>
      </c>
      <c r="D22" s="9">
        <v>4.34</v>
      </c>
    </row>
    <row r="23" spans="1:4" x14ac:dyDescent="0.2">
      <c r="A23" s="4" t="s">
        <v>71</v>
      </c>
      <c r="B23" s="9">
        <v>-1.84</v>
      </c>
      <c r="C23" s="9">
        <v>-0.52</v>
      </c>
      <c r="D23" s="9">
        <v>4.12</v>
      </c>
    </row>
    <row r="26" spans="1:4" x14ac:dyDescent="0.2">
      <c r="A26" s="8" t="s">
        <v>50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5"/>
  <sheetViews>
    <sheetView showGridLines="0" workbookViewId="0">
      <pane xSplit="1" ySplit="3" topLeftCell="B42" activePane="bottomRight" state="frozen"/>
      <selection pane="topRight"/>
      <selection pane="bottomLeft"/>
      <selection pane="bottomRight" activeCell="A7" sqref="A7"/>
    </sheetView>
  </sheetViews>
  <sheetFormatPr baseColWidth="10" defaultColWidth="8.83203125" defaultRowHeight="15" x14ac:dyDescent="0.2"/>
  <cols>
    <col min="1" max="1" width="75" customWidth="1"/>
    <col min="2" max="4" width="16" customWidth="1"/>
  </cols>
  <sheetData>
    <row r="1" spans="1:4" ht="16" customHeight="1" x14ac:dyDescent="0.2">
      <c r="A1" s="1" t="s">
        <v>72</v>
      </c>
    </row>
    <row r="3" spans="1:4" x14ac:dyDescent="0.2">
      <c r="A3" s="2" t="s">
        <v>52</v>
      </c>
      <c r="B3" s="3">
        <v>2024</v>
      </c>
      <c r="C3" s="3">
        <v>2025</v>
      </c>
      <c r="D3" s="3">
        <v>2026</v>
      </c>
    </row>
    <row r="4" spans="1:4" x14ac:dyDescent="0.2">
      <c r="A4" s="4" t="s">
        <v>73</v>
      </c>
      <c r="B4" s="4"/>
      <c r="C4" s="4"/>
      <c r="D4" s="4"/>
    </row>
    <row r="5" spans="1:4" x14ac:dyDescent="0.2">
      <c r="A5" s="6" t="s">
        <v>74</v>
      </c>
      <c r="B5" s="7">
        <v>-158.76400000000001</v>
      </c>
      <c r="C5" s="7">
        <v>30.056999999999999</v>
      </c>
      <c r="D5" s="7">
        <v>786.88400000000001</v>
      </c>
    </row>
    <row r="6" spans="1:4" x14ac:dyDescent="0.2">
      <c r="A6" s="4" t="s">
        <v>75</v>
      </c>
      <c r="B6" s="4"/>
      <c r="C6" s="4"/>
      <c r="D6" s="4"/>
    </row>
    <row r="7" spans="1:4" x14ac:dyDescent="0.2">
      <c r="A7" s="4" t="s">
        <v>76</v>
      </c>
      <c r="B7" s="5">
        <v>271.601</v>
      </c>
      <c r="C7" s="5">
        <v>250.81</v>
      </c>
      <c r="D7" s="5">
        <v>241.56100000000001</v>
      </c>
    </row>
    <row r="8" spans="1:4" x14ac:dyDescent="0.2">
      <c r="A8" s="4" t="s">
        <v>77</v>
      </c>
      <c r="B8" s="5">
        <v>288.16000000000003</v>
      </c>
      <c r="C8" s="5">
        <v>302.78800000000001</v>
      </c>
      <c r="D8" s="5">
        <v>280.334</v>
      </c>
    </row>
    <row r="9" spans="1:4" x14ac:dyDescent="0.2">
      <c r="A9" s="4" t="s">
        <v>78</v>
      </c>
      <c r="B9" s="5">
        <v>126.04900000000001</v>
      </c>
      <c r="C9" s="5">
        <v>160.239</v>
      </c>
      <c r="D9" s="5">
        <v>186.46799999999999</v>
      </c>
    </row>
    <row r="10" spans="1:4" x14ac:dyDescent="0.2">
      <c r="A10" s="4" t="s">
        <v>79</v>
      </c>
      <c r="B10" s="5">
        <v>16.556999999999999</v>
      </c>
      <c r="C10" s="5">
        <v>140.91200000000001</v>
      </c>
      <c r="D10" s="5">
        <v>87.563000000000002</v>
      </c>
    </row>
    <row r="11" spans="1:4" x14ac:dyDescent="0.2">
      <c r="A11" s="4" t="s">
        <v>80</v>
      </c>
      <c r="B11" s="5">
        <v>17.652000000000001</v>
      </c>
      <c r="C11" s="5">
        <v>19.774000000000001</v>
      </c>
      <c r="D11" s="5">
        <v>17.559999999999999</v>
      </c>
    </row>
    <row r="12" spans="1:4" x14ac:dyDescent="0.2">
      <c r="A12" s="4" t="s">
        <v>81</v>
      </c>
      <c r="B12" s="5">
        <v>0.75800000000000001</v>
      </c>
      <c r="C12" s="5">
        <v>0.78200000000000003</v>
      </c>
      <c r="D12" s="5">
        <v>0.59899999999999998</v>
      </c>
    </row>
    <row r="13" spans="1:4" x14ac:dyDescent="0.2">
      <c r="A13" s="4" t="s">
        <v>82</v>
      </c>
      <c r="B13" s="5">
        <v>-10.555999999999999</v>
      </c>
      <c r="C13" s="5">
        <v>33.122</v>
      </c>
      <c r="D13" s="5">
        <v>-24.792000000000002</v>
      </c>
    </row>
    <row r="14" spans="1:4" x14ac:dyDescent="0.2">
      <c r="A14" s="4" t="s">
        <v>83</v>
      </c>
      <c r="B14" s="5">
        <v>5.0999999999999997E-2</v>
      </c>
      <c r="C14" s="5">
        <v>-1.3160000000000001</v>
      </c>
      <c r="D14" s="5">
        <v>-0.69</v>
      </c>
    </row>
    <row r="15" spans="1:4" x14ac:dyDescent="0.2">
      <c r="A15" s="4" t="s">
        <v>22</v>
      </c>
      <c r="B15" s="5">
        <v>-112.096</v>
      </c>
      <c r="C15" s="5">
        <v>-95.433999999999997</v>
      </c>
      <c r="D15" s="5">
        <v>-198.732</v>
      </c>
    </row>
    <row r="16" spans="1:4" x14ac:dyDescent="0.2">
      <c r="A16" s="4" t="s">
        <v>59</v>
      </c>
      <c r="B16" s="17" t="s">
        <v>13</v>
      </c>
      <c r="C16" s="19" t="s">
        <v>13</v>
      </c>
      <c r="D16" s="18">
        <v>-124.133</v>
      </c>
    </row>
    <row r="17" spans="1:4" x14ac:dyDescent="0.2">
      <c r="A17" s="4" t="s">
        <v>84</v>
      </c>
      <c r="B17" s="17" t="s">
        <v>13</v>
      </c>
      <c r="C17" s="19" t="s">
        <v>13</v>
      </c>
      <c r="D17" s="18">
        <v>-73.998000000000005</v>
      </c>
    </row>
    <row r="18" spans="1:4" x14ac:dyDescent="0.2">
      <c r="A18" s="4" t="s">
        <v>85</v>
      </c>
      <c r="B18" s="5">
        <v>1.978</v>
      </c>
      <c r="C18" s="19" t="s">
        <v>13</v>
      </c>
      <c r="D18" s="5">
        <v>3.056</v>
      </c>
    </row>
    <row r="19" spans="1:4" x14ac:dyDescent="0.2">
      <c r="A19" s="4" t="s">
        <v>86</v>
      </c>
      <c r="B19" s="4"/>
      <c r="C19" s="4"/>
      <c r="D19" s="4"/>
    </row>
    <row r="20" spans="1:4" x14ac:dyDescent="0.2">
      <c r="A20" s="4" t="s">
        <v>87</v>
      </c>
      <c r="B20" s="5">
        <v>60.581000000000003</v>
      </c>
      <c r="C20" s="5">
        <v>-170.44399999999999</v>
      </c>
      <c r="D20" s="5">
        <v>-367.63099999999997</v>
      </c>
    </row>
    <row r="21" spans="1:4" x14ac:dyDescent="0.2">
      <c r="A21" s="4" t="s">
        <v>15</v>
      </c>
      <c r="B21" s="5">
        <v>-23.196000000000002</v>
      </c>
      <c r="C21" s="5">
        <v>-202.72800000000001</v>
      </c>
      <c r="D21" s="5">
        <v>-1183</v>
      </c>
    </row>
    <row r="22" spans="1:4" x14ac:dyDescent="0.2">
      <c r="A22" s="4" t="s">
        <v>29</v>
      </c>
      <c r="B22" s="5">
        <v>205.04400000000001</v>
      </c>
      <c r="C22" s="5">
        <v>217.357</v>
      </c>
      <c r="D22" s="5">
        <v>748.53300000000002</v>
      </c>
    </row>
    <row r="23" spans="1:4" x14ac:dyDescent="0.2">
      <c r="A23" s="4" t="s">
        <v>88</v>
      </c>
      <c r="B23" s="5">
        <v>-72.817999999999998</v>
      </c>
      <c r="C23" s="5">
        <v>3.1819999999999999</v>
      </c>
      <c r="D23" s="5">
        <v>-9.3070000000000004</v>
      </c>
    </row>
    <row r="24" spans="1:4" x14ac:dyDescent="0.2">
      <c r="A24" s="4" t="s">
        <v>89</v>
      </c>
      <c r="B24" s="5">
        <v>12.250999999999999</v>
      </c>
      <c r="C24" s="5">
        <v>-22.117999999999999</v>
      </c>
      <c r="D24" s="5">
        <v>18.175000000000001</v>
      </c>
    </row>
    <row r="25" spans="1:4" x14ac:dyDescent="0.2">
      <c r="A25" s="4" t="s">
        <v>30</v>
      </c>
      <c r="B25" s="5">
        <v>36.893999999999998</v>
      </c>
      <c r="C25" s="5">
        <v>62.96</v>
      </c>
      <c r="D25" s="5">
        <v>99.397000000000006</v>
      </c>
    </row>
    <row r="26" spans="1:4" x14ac:dyDescent="0.2">
      <c r="A26" s="4" t="s">
        <v>90</v>
      </c>
      <c r="B26" s="5">
        <v>-114.41500000000001</v>
      </c>
      <c r="C26" s="5">
        <v>-96.343000000000004</v>
      </c>
      <c r="D26" s="5">
        <v>-408.33300000000003</v>
      </c>
    </row>
    <row r="27" spans="1:4" x14ac:dyDescent="0.2">
      <c r="A27" s="6" t="s">
        <v>91</v>
      </c>
      <c r="B27" s="7">
        <v>545.73099999999999</v>
      </c>
      <c r="C27" s="7">
        <v>633.6</v>
      </c>
      <c r="D27" s="7">
        <v>79.513999999999996</v>
      </c>
    </row>
    <row r="28" spans="1:4" x14ac:dyDescent="0.2">
      <c r="A28" s="4" t="s">
        <v>92</v>
      </c>
      <c r="B28" s="4"/>
      <c r="C28" s="4"/>
      <c r="D28" s="4"/>
    </row>
    <row r="29" spans="1:4" x14ac:dyDescent="0.2">
      <c r="A29" s="4" t="s">
        <v>93</v>
      </c>
      <c r="B29" s="5">
        <v>-346.81599999999997</v>
      </c>
      <c r="C29" s="5">
        <v>-440.83600000000001</v>
      </c>
      <c r="D29" s="5">
        <v>-1102.9090000000001</v>
      </c>
    </row>
    <row r="30" spans="1:4" x14ac:dyDescent="0.2">
      <c r="A30" s="4" t="s">
        <v>94</v>
      </c>
      <c r="B30" s="17" t="s">
        <v>13</v>
      </c>
      <c r="C30" s="19" t="s">
        <v>13</v>
      </c>
      <c r="D30" s="18">
        <v>-7.1740000000000004</v>
      </c>
    </row>
    <row r="31" spans="1:4" x14ac:dyDescent="0.2">
      <c r="A31" s="4" t="s">
        <v>95</v>
      </c>
      <c r="B31" s="17" t="s">
        <v>13</v>
      </c>
      <c r="C31" s="19" t="s">
        <v>13</v>
      </c>
      <c r="D31" s="18">
        <v>89.384</v>
      </c>
    </row>
    <row r="32" spans="1:4" x14ac:dyDescent="0.2">
      <c r="A32" s="4" t="s">
        <v>96</v>
      </c>
      <c r="B32" s="17" t="s">
        <v>13</v>
      </c>
      <c r="C32" s="5">
        <v>27</v>
      </c>
      <c r="D32" s="18">
        <v>436.99200000000002</v>
      </c>
    </row>
    <row r="33" spans="1:4" x14ac:dyDescent="0.2">
      <c r="A33" s="4" t="s">
        <v>97</v>
      </c>
      <c r="B33" s="17" t="s">
        <v>13</v>
      </c>
      <c r="C33" s="19" t="s">
        <v>13</v>
      </c>
      <c r="D33" s="18">
        <v>-1025</v>
      </c>
    </row>
    <row r="34" spans="1:4" x14ac:dyDescent="0.2">
      <c r="A34" s="4" t="s">
        <v>98</v>
      </c>
      <c r="B34" s="17" t="s">
        <v>13</v>
      </c>
      <c r="C34" s="19" t="s">
        <v>13</v>
      </c>
      <c r="D34" s="18">
        <v>200</v>
      </c>
    </row>
    <row r="35" spans="1:4" x14ac:dyDescent="0.2">
      <c r="A35" s="4" t="s">
        <v>99</v>
      </c>
      <c r="B35" s="5">
        <v>-3.8969999999999998</v>
      </c>
      <c r="C35" s="5">
        <v>-0.379</v>
      </c>
      <c r="D35" s="5">
        <v>-5.0170000000000003</v>
      </c>
    </row>
    <row r="36" spans="1:4" x14ac:dyDescent="0.2">
      <c r="A36" s="6" t="s">
        <v>100</v>
      </c>
      <c r="B36" s="7">
        <v>-350.71300000000002</v>
      </c>
      <c r="C36" s="7">
        <v>-414.21499999999997</v>
      </c>
      <c r="D36" s="7">
        <v>-1413.7239999999999</v>
      </c>
    </row>
    <row r="37" spans="1:4" x14ac:dyDescent="0.2">
      <c r="A37" s="4" t="s">
        <v>101</v>
      </c>
      <c r="B37" s="4"/>
      <c r="C37" s="4"/>
      <c r="D37" s="4"/>
    </row>
    <row r="38" spans="1:4" x14ac:dyDescent="0.2">
      <c r="A38" s="4" t="s">
        <v>102</v>
      </c>
      <c r="B38" s="18">
        <v>1000</v>
      </c>
      <c r="C38" s="4" t="s">
        <v>13</v>
      </c>
      <c r="D38" s="17" t="s">
        <v>13</v>
      </c>
    </row>
    <row r="39" spans="1:4" x14ac:dyDescent="0.2">
      <c r="A39" s="4" t="s">
        <v>103</v>
      </c>
      <c r="B39" s="17" t="s">
        <v>13</v>
      </c>
      <c r="C39" s="4" t="s">
        <v>13</v>
      </c>
      <c r="D39" s="18">
        <v>1250</v>
      </c>
    </row>
    <row r="40" spans="1:4" x14ac:dyDescent="0.2">
      <c r="A40" s="4" t="s">
        <v>104</v>
      </c>
      <c r="B40" s="17" t="s">
        <v>13</v>
      </c>
      <c r="C40" s="4" t="s">
        <v>13</v>
      </c>
      <c r="D40" s="18">
        <v>3.2669999999999999</v>
      </c>
    </row>
    <row r="41" spans="1:4" x14ac:dyDescent="0.2">
      <c r="A41" s="4" t="s">
        <v>105</v>
      </c>
      <c r="B41" s="5">
        <v>18.966000000000001</v>
      </c>
      <c r="C41" s="5">
        <v>53.728999999999999</v>
      </c>
      <c r="D41" s="5">
        <v>640.07500000000005</v>
      </c>
    </row>
    <row r="42" spans="1:4" x14ac:dyDescent="0.2">
      <c r="A42" s="4" t="s">
        <v>106</v>
      </c>
      <c r="B42" s="17" t="s">
        <v>13</v>
      </c>
      <c r="C42" s="4" t="s">
        <v>13</v>
      </c>
      <c r="D42" s="18">
        <v>28.004000000000001</v>
      </c>
    </row>
    <row r="43" spans="1:4" x14ac:dyDescent="0.2">
      <c r="A43" s="4" t="s">
        <v>107</v>
      </c>
      <c r="B43" s="17" t="s">
        <v>13</v>
      </c>
      <c r="C43" s="4" t="s">
        <v>13</v>
      </c>
      <c r="D43" s="18">
        <v>1998.5519999999999</v>
      </c>
    </row>
    <row r="44" spans="1:4" x14ac:dyDescent="0.2">
      <c r="A44" s="4" t="s">
        <v>108</v>
      </c>
      <c r="B44" s="5">
        <v>-228.80199999999999</v>
      </c>
      <c r="C44" s="5">
        <v>-436.98599999999999</v>
      </c>
      <c r="D44" s="5">
        <v>-1723.4369999999999</v>
      </c>
    </row>
    <row r="45" spans="1:4" x14ac:dyDescent="0.2">
      <c r="A45" s="4" t="s">
        <v>109</v>
      </c>
      <c r="B45" s="5">
        <v>-19.027000000000001</v>
      </c>
      <c r="C45" s="5">
        <v>-51.661000000000001</v>
      </c>
      <c r="D45" s="5">
        <v>-676.21100000000001</v>
      </c>
    </row>
    <row r="46" spans="1:4" x14ac:dyDescent="0.2">
      <c r="A46" s="4" t="s">
        <v>110</v>
      </c>
      <c r="B46" s="17" t="s">
        <v>13</v>
      </c>
      <c r="C46" s="4" t="s">
        <v>13</v>
      </c>
      <c r="D46" s="18">
        <v>-9.1010000000000009</v>
      </c>
    </row>
    <row r="47" spans="1:4" x14ac:dyDescent="0.2">
      <c r="A47" s="4" t="s">
        <v>111</v>
      </c>
      <c r="B47" s="18">
        <v>-31.84</v>
      </c>
      <c r="C47" s="4" t="s">
        <v>13</v>
      </c>
      <c r="D47" s="17" t="s">
        <v>13</v>
      </c>
    </row>
    <row r="48" spans="1:4" x14ac:dyDescent="0.2">
      <c r="A48" s="4" t="s">
        <v>112</v>
      </c>
      <c r="B48" s="5">
        <v>42.296999999999997</v>
      </c>
      <c r="C48" s="5">
        <v>49.57</v>
      </c>
      <c r="D48" s="5">
        <v>53.814</v>
      </c>
    </row>
    <row r="49" spans="1:4" x14ac:dyDescent="0.2">
      <c r="A49" s="4" t="s">
        <v>113</v>
      </c>
      <c r="B49" s="5">
        <v>-22.315000000000001</v>
      </c>
      <c r="C49" s="5">
        <v>-53.991999999999997</v>
      </c>
      <c r="D49" s="5">
        <v>-77.418999999999997</v>
      </c>
    </row>
    <row r="50" spans="1:4" x14ac:dyDescent="0.2">
      <c r="A50" s="4" t="s">
        <v>114</v>
      </c>
      <c r="B50" s="17" t="s">
        <v>13</v>
      </c>
      <c r="C50" s="5">
        <v>-11.438000000000001</v>
      </c>
      <c r="D50" s="18">
        <v>-11.438000000000001</v>
      </c>
    </row>
    <row r="51" spans="1:4" x14ac:dyDescent="0.2">
      <c r="A51" s="4" t="s">
        <v>115</v>
      </c>
      <c r="B51" s="5">
        <v>-1.0069999999999999</v>
      </c>
      <c r="C51" s="5">
        <v>-0.94799999999999995</v>
      </c>
      <c r="D51" s="5">
        <v>0.97</v>
      </c>
    </row>
    <row r="52" spans="1:4" x14ac:dyDescent="0.2">
      <c r="A52" s="6" t="s">
        <v>116</v>
      </c>
      <c r="B52" s="7">
        <v>758.27200000000005</v>
      </c>
      <c r="C52" s="7">
        <v>-451.726</v>
      </c>
      <c r="D52" s="7">
        <v>1477.076</v>
      </c>
    </row>
    <row r="53" spans="1:4" x14ac:dyDescent="0.2">
      <c r="A53" s="4" t="s">
        <v>117</v>
      </c>
      <c r="B53" s="5">
        <v>-1.17</v>
      </c>
      <c r="C53" s="5">
        <v>75.567999999999998</v>
      </c>
      <c r="D53" s="5">
        <v>-7.383</v>
      </c>
    </row>
    <row r="54" spans="1:4" x14ac:dyDescent="0.2">
      <c r="A54" s="4" t="s">
        <v>118</v>
      </c>
      <c r="B54" s="5">
        <v>952.12</v>
      </c>
      <c r="C54" s="5">
        <v>-156.773</v>
      </c>
      <c r="D54" s="5">
        <v>135.483</v>
      </c>
    </row>
    <row r="55" spans="1:4" x14ac:dyDescent="0.2">
      <c r="A55" s="6" t="s">
        <v>119</v>
      </c>
      <c r="B55" s="7">
        <v>837.56600000000003</v>
      </c>
      <c r="C55" s="7">
        <v>1789.6859999999999</v>
      </c>
      <c r="D55" s="7">
        <v>1632.913</v>
      </c>
    </row>
    <row r="56" spans="1:4" x14ac:dyDescent="0.2">
      <c r="A56" s="6" t="s">
        <v>120</v>
      </c>
      <c r="B56" s="7">
        <v>1789.6859999999999</v>
      </c>
      <c r="C56" s="7">
        <v>1632.913</v>
      </c>
      <c r="D56" s="7">
        <v>1768.396</v>
      </c>
    </row>
    <row r="57" spans="1:4" x14ac:dyDescent="0.2">
      <c r="A57" s="4" t="s">
        <v>121</v>
      </c>
      <c r="B57" s="4"/>
      <c r="C57" s="4"/>
      <c r="D57" s="4"/>
    </row>
    <row r="58" spans="1:4" x14ac:dyDescent="0.2">
      <c r="A58" s="4" t="s">
        <v>122</v>
      </c>
      <c r="B58" s="5">
        <v>312.87900000000002</v>
      </c>
      <c r="C58" s="5">
        <v>256.70400000000001</v>
      </c>
      <c r="D58" s="5">
        <v>189.256</v>
      </c>
    </row>
    <row r="59" spans="1:4" x14ac:dyDescent="0.2">
      <c r="A59" s="4" t="s">
        <v>123</v>
      </c>
      <c r="B59" s="5">
        <v>97.295000000000002</v>
      </c>
      <c r="C59" s="5">
        <v>166.84899999999999</v>
      </c>
      <c r="D59" s="5">
        <v>208.12899999999999</v>
      </c>
    </row>
    <row r="60" spans="1:4" x14ac:dyDescent="0.2">
      <c r="A60" s="4" t="s">
        <v>124</v>
      </c>
      <c r="B60" s="4"/>
      <c r="C60" s="4"/>
      <c r="D60" s="4"/>
    </row>
    <row r="61" spans="1:4" x14ac:dyDescent="0.2">
      <c r="A61" s="4" t="s">
        <v>125</v>
      </c>
      <c r="B61" s="5">
        <v>63.286000000000001</v>
      </c>
      <c r="C61" s="5">
        <v>67.146000000000001</v>
      </c>
      <c r="D61" s="5">
        <v>371.779</v>
      </c>
    </row>
    <row r="62" spans="1:4" x14ac:dyDescent="0.2">
      <c r="A62" s="4" t="s">
        <v>126</v>
      </c>
      <c r="B62" s="5">
        <v>445.31900000000002</v>
      </c>
      <c r="C62" s="4" t="s">
        <v>13</v>
      </c>
      <c r="D62" s="5">
        <v>2506.8850000000002</v>
      </c>
    </row>
    <row r="65" spans="1:1" x14ac:dyDescent="0.2">
      <c r="A65" s="8" t="s">
        <v>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9"/>
  <sheetViews>
    <sheetView showGridLines="0" workbookViewId="0">
      <pane xSplit="1" ySplit="4" topLeftCell="B5" activePane="bottomRight" state="frozen"/>
      <selection pane="topRight"/>
      <selection pane="bottomLeft"/>
      <selection pane="bottomRight" activeCell="B32" sqref="B32:D32"/>
    </sheetView>
  </sheetViews>
  <sheetFormatPr baseColWidth="10" defaultColWidth="8.83203125" defaultRowHeight="15" x14ac:dyDescent="0.2"/>
  <cols>
    <col min="1" max="1" width="49.5" customWidth="1"/>
    <col min="2" max="4" width="16" customWidth="1"/>
  </cols>
  <sheetData>
    <row r="1" spans="1:4" ht="16" customHeight="1" x14ac:dyDescent="0.2">
      <c r="A1" s="1" t="s">
        <v>127</v>
      </c>
    </row>
    <row r="3" spans="1:4" x14ac:dyDescent="0.2">
      <c r="A3" s="2"/>
      <c r="B3" s="10" t="s">
        <v>52</v>
      </c>
      <c r="C3" s="10"/>
      <c r="D3" s="10"/>
    </row>
    <row r="4" spans="1:4" x14ac:dyDescent="0.2">
      <c r="A4" s="2"/>
      <c r="B4" s="3">
        <v>2024</v>
      </c>
      <c r="C4" s="3">
        <v>2025</v>
      </c>
      <c r="D4" s="3">
        <v>2026</v>
      </c>
    </row>
    <row r="5" spans="1:4" x14ac:dyDescent="0.2">
      <c r="A5" s="4" t="s">
        <v>128</v>
      </c>
      <c r="B5" s="4"/>
      <c r="C5" s="4"/>
      <c r="D5" s="4"/>
    </row>
    <row r="6" spans="1:4" x14ac:dyDescent="0.2">
      <c r="A6" s="4" t="s">
        <v>1</v>
      </c>
      <c r="B6" s="5">
        <v>2631.3690000000001</v>
      </c>
      <c r="C6" s="5">
        <v>3755.1640000000002</v>
      </c>
      <c r="D6" s="5">
        <v>5274.6289999999999</v>
      </c>
    </row>
    <row r="7" spans="1:4" x14ac:dyDescent="0.2">
      <c r="A7" s="4" t="s">
        <v>4</v>
      </c>
      <c r="B7" s="5">
        <v>2076.319</v>
      </c>
      <c r="C7" s="5">
        <v>2054.951</v>
      </c>
      <c r="D7" s="5">
        <v>1843.5519999999999</v>
      </c>
    </row>
    <row r="8" spans="1:4" x14ac:dyDescent="0.2">
      <c r="A8" s="6" t="s">
        <v>5</v>
      </c>
      <c r="B8" s="7">
        <v>4707.6880000000001</v>
      </c>
      <c r="C8" s="7">
        <v>5810.1149999999998</v>
      </c>
      <c r="D8" s="7">
        <v>7118.1809999999996</v>
      </c>
    </row>
    <row r="9" spans="1:4" x14ac:dyDescent="0.2">
      <c r="A9" s="4" t="s">
        <v>129</v>
      </c>
      <c r="B9" s="4"/>
      <c r="C9" s="4"/>
      <c r="D9" s="4"/>
    </row>
    <row r="10" spans="1:4" x14ac:dyDescent="0.2">
      <c r="A10" s="4" t="s">
        <v>1</v>
      </c>
      <c r="B10" s="5">
        <v>36.503999999999998</v>
      </c>
      <c r="C10" s="5">
        <v>38.584000000000003</v>
      </c>
      <c r="D10" s="5">
        <v>40.734999999999999</v>
      </c>
    </row>
    <row r="11" spans="1:4" x14ac:dyDescent="0.2">
      <c r="A11" s="4" t="s">
        <v>4</v>
      </c>
      <c r="B11" s="5">
        <v>55.097999999999999</v>
      </c>
      <c r="C11" s="5">
        <v>77.108000000000004</v>
      </c>
      <c r="D11" s="5">
        <v>99.643000000000001</v>
      </c>
    </row>
    <row r="12" spans="1:4" x14ac:dyDescent="0.2">
      <c r="A12" s="4" t="s">
        <v>130</v>
      </c>
      <c r="B12" s="5">
        <v>-91.602000000000004</v>
      </c>
      <c r="C12" s="5">
        <v>-115.69199999999999</v>
      </c>
      <c r="D12" s="5">
        <v>-140.37799999999999</v>
      </c>
    </row>
    <row r="13" spans="1:4" x14ac:dyDescent="0.2">
      <c r="A13" s="6" t="s">
        <v>131</v>
      </c>
      <c r="B13" s="6" t="s">
        <v>13</v>
      </c>
      <c r="C13" s="6" t="s">
        <v>13</v>
      </c>
      <c r="D13" s="6" t="s">
        <v>13</v>
      </c>
    </row>
    <row r="14" spans="1:4" x14ac:dyDescent="0.2">
      <c r="A14" s="4" t="s">
        <v>132</v>
      </c>
      <c r="B14" s="4"/>
      <c r="C14" s="4"/>
      <c r="D14" s="4"/>
    </row>
    <row r="15" spans="1:4" x14ac:dyDescent="0.2">
      <c r="A15" s="4" t="s">
        <v>1</v>
      </c>
      <c r="B15" s="5">
        <v>2167.9050000000002</v>
      </c>
      <c r="C15" s="5">
        <v>2889.9609999999998</v>
      </c>
      <c r="D15" s="5">
        <v>3985.6460000000002</v>
      </c>
    </row>
    <row r="16" spans="1:4" x14ac:dyDescent="0.2">
      <c r="A16" s="4" t="s">
        <v>4</v>
      </c>
      <c r="B16" s="5">
        <v>1833.711</v>
      </c>
      <c r="C16" s="5">
        <v>1724.569</v>
      </c>
      <c r="D16" s="5">
        <v>1520.422</v>
      </c>
    </row>
    <row r="17" spans="1:4" x14ac:dyDescent="0.2">
      <c r="A17" s="6" t="s">
        <v>133</v>
      </c>
      <c r="B17" s="7">
        <v>4001.616</v>
      </c>
      <c r="C17" s="7">
        <v>4614.53</v>
      </c>
      <c r="D17" s="7">
        <v>5506.0680000000002</v>
      </c>
    </row>
    <row r="18" spans="1:4" x14ac:dyDescent="0.2">
      <c r="A18" s="4" t="s">
        <v>134</v>
      </c>
      <c r="B18" s="4"/>
      <c r="C18" s="4"/>
      <c r="D18" s="4"/>
    </row>
    <row r="19" spans="1:4" x14ac:dyDescent="0.2">
      <c r="A19" s="4" t="s">
        <v>1</v>
      </c>
      <c r="B19" s="5">
        <v>499.96800000000002</v>
      </c>
      <c r="C19" s="5">
        <v>903.78700000000003</v>
      </c>
      <c r="D19" s="5">
        <v>1329.7190000000001</v>
      </c>
    </row>
    <row r="20" spans="1:4" x14ac:dyDescent="0.2">
      <c r="A20" s="4" t="s">
        <v>4</v>
      </c>
      <c r="B20" s="5">
        <v>297.70600000000002</v>
      </c>
      <c r="C20" s="5">
        <v>407.49</v>
      </c>
      <c r="D20" s="5">
        <v>422.77300000000002</v>
      </c>
    </row>
    <row r="21" spans="1:4" x14ac:dyDescent="0.2">
      <c r="A21" s="6" t="s">
        <v>135</v>
      </c>
      <c r="B21" s="7">
        <v>797.67399999999998</v>
      </c>
      <c r="C21" s="7">
        <v>1311.277</v>
      </c>
      <c r="D21" s="7">
        <v>1752.492</v>
      </c>
    </row>
    <row r="22" spans="1:4" x14ac:dyDescent="0.2">
      <c r="A22" s="4" t="s">
        <v>136</v>
      </c>
      <c r="B22" s="4"/>
      <c r="C22" s="4"/>
      <c r="D22" s="4"/>
    </row>
    <row r="23" spans="1:4" x14ac:dyDescent="0.2">
      <c r="A23" s="4" t="s">
        <v>137</v>
      </c>
      <c r="B23" s="5">
        <v>-179.624</v>
      </c>
      <c r="C23" s="5">
        <v>-274.33300000000003</v>
      </c>
      <c r="D23" s="5">
        <v>-296.74799999999999</v>
      </c>
    </row>
    <row r="24" spans="1:4" x14ac:dyDescent="0.2">
      <c r="A24" s="4" t="s">
        <v>138</v>
      </c>
      <c r="B24" s="5">
        <v>-126.895</v>
      </c>
      <c r="C24" s="5">
        <v>-160.97200000000001</v>
      </c>
      <c r="D24" s="5">
        <v>-193.804</v>
      </c>
    </row>
    <row r="25" spans="1:4" x14ac:dyDescent="0.2">
      <c r="A25" s="4" t="s">
        <v>139</v>
      </c>
      <c r="B25" s="5">
        <v>-27.053999999999998</v>
      </c>
      <c r="C25" s="5">
        <v>-160.08099999999999</v>
      </c>
      <c r="D25" s="5">
        <v>-63.39</v>
      </c>
    </row>
    <row r="26" spans="1:4" x14ac:dyDescent="0.2">
      <c r="A26" s="4" t="s">
        <v>58</v>
      </c>
      <c r="B26" s="17" t="s">
        <v>13</v>
      </c>
      <c r="C26" s="5">
        <v>-84.988</v>
      </c>
      <c r="D26" s="18">
        <v>-64.403999999999996</v>
      </c>
    </row>
    <row r="27" spans="1:4" x14ac:dyDescent="0.2">
      <c r="A27" s="4" t="s">
        <v>140</v>
      </c>
      <c r="B27" s="5">
        <v>-79.819999999999993</v>
      </c>
      <c r="C27" s="5">
        <v>-38.237000000000002</v>
      </c>
      <c r="D27" s="5">
        <v>-80.084000000000003</v>
      </c>
    </row>
    <row r="28" spans="1:4" x14ac:dyDescent="0.2">
      <c r="A28" s="4" t="s">
        <v>141</v>
      </c>
      <c r="B28" s="5">
        <v>-288.16000000000003</v>
      </c>
      <c r="C28" s="5">
        <v>-302.78800000000001</v>
      </c>
      <c r="D28" s="5">
        <v>-280.334</v>
      </c>
    </row>
    <row r="29" spans="1:4" x14ac:dyDescent="0.2">
      <c r="A29" s="4" t="s">
        <v>60</v>
      </c>
      <c r="B29" s="5">
        <v>-288.47500000000002</v>
      </c>
      <c r="C29" s="5">
        <v>-243.251</v>
      </c>
      <c r="D29" s="5">
        <v>-190.267</v>
      </c>
    </row>
    <row r="30" spans="1:4" x14ac:dyDescent="0.2">
      <c r="A30" s="4" t="s">
        <v>59</v>
      </c>
      <c r="B30" s="17" t="s">
        <v>13</v>
      </c>
      <c r="C30" s="4" t="s">
        <v>13</v>
      </c>
      <c r="D30" s="18">
        <v>124.133</v>
      </c>
    </row>
    <row r="31" spans="1:4" x14ac:dyDescent="0.2">
      <c r="A31" s="4" t="s">
        <v>61</v>
      </c>
      <c r="B31" s="5">
        <v>44.707000000000001</v>
      </c>
      <c r="C31" s="5">
        <v>47.554000000000002</v>
      </c>
      <c r="D31" s="5">
        <v>140.13900000000001</v>
      </c>
    </row>
    <row r="32" spans="1:4" x14ac:dyDescent="0.2">
      <c r="A32" s="6" t="s">
        <v>142</v>
      </c>
      <c r="B32" s="7">
        <v>-147.64699999999999</v>
      </c>
      <c r="C32" s="7">
        <v>94.180999999999997</v>
      </c>
      <c r="D32" s="7">
        <v>847.73299999999995</v>
      </c>
    </row>
    <row r="34" spans="1:1" x14ac:dyDescent="0.2">
      <c r="A34" s="11" t="s">
        <v>143</v>
      </c>
    </row>
    <row r="35" spans="1:1" x14ac:dyDescent="0.2">
      <c r="A35" s="11" t="s">
        <v>144</v>
      </c>
    </row>
    <row r="36" spans="1:1" x14ac:dyDescent="0.2">
      <c r="A36" s="11" t="s">
        <v>145</v>
      </c>
    </row>
    <row r="37" spans="1:1" x14ac:dyDescent="0.2">
      <c r="A37" s="11" t="s">
        <v>146</v>
      </c>
    </row>
    <row r="39" spans="1:1" x14ac:dyDescent="0.2">
      <c r="A39" s="8" t="s">
        <v>50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workbookViewId="0">
      <pane xSplit="1" ySplit="4" topLeftCell="B5" activePane="bottomRight" state="frozen"/>
      <selection pane="topRight"/>
      <selection pane="bottomLeft"/>
      <selection pane="bottomRight" activeCell="O36" sqref="O36"/>
    </sheetView>
  </sheetViews>
  <sheetFormatPr baseColWidth="10" defaultColWidth="8.83203125" defaultRowHeight="15" x14ac:dyDescent="0.2"/>
  <cols>
    <col min="1" max="1" width="31.5" customWidth="1"/>
    <col min="2" max="4" width="16" customWidth="1"/>
  </cols>
  <sheetData>
    <row r="1" spans="1:4" ht="16" customHeight="1" x14ac:dyDescent="0.2">
      <c r="A1" s="1" t="s">
        <v>147</v>
      </c>
    </row>
    <row r="3" spans="1:4" x14ac:dyDescent="0.2">
      <c r="A3" s="2"/>
      <c r="B3" s="10" t="s">
        <v>52</v>
      </c>
      <c r="C3" s="10"/>
      <c r="D3" s="10"/>
    </row>
    <row r="4" spans="1:4" x14ac:dyDescent="0.2">
      <c r="A4" s="2" t="s">
        <v>148</v>
      </c>
      <c r="B4" s="3">
        <v>2024</v>
      </c>
      <c r="C4" s="3">
        <v>2025</v>
      </c>
      <c r="D4" s="3">
        <v>2026</v>
      </c>
    </row>
    <row r="5" spans="1:4" x14ac:dyDescent="0.2">
      <c r="A5" s="4" t="s">
        <v>1</v>
      </c>
      <c r="B5" s="5">
        <v>213.69300000000001</v>
      </c>
      <c r="C5" s="5">
        <v>209.29300000000001</v>
      </c>
      <c r="D5" s="5">
        <v>212.56</v>
      </c>
    </row>
    <row r="6" spans="1:4" x14ac:dyDescent="0.2">
      <c r="A6" s="4" t="s">
        <v>4</v>
      </c>
      <c r="B6" s="5">
        <v>340.601</v>
      </c>
      <c r="C6" s="5">
        <v>339.37700000000001</v>
      </c>
      <c r="D6" s="5">
        <v>304.95999999999998</v>
      </c>
    </row>
    <row r="7" spans="1:4" x14ac:dyDescent="0.2">
      <c r="A7" s="4" t="s">
        <v>149</v>
      </c>
      <c r="B7" s="5">
        <v>5.4669999999999996</v>
      </c>
      <c r="C7" s="5">
        <v>4.9279999999999999</v>
      </c>
      <c r="D7" s="5">
        <v>4.375</v>
      </c>
    </row>
    <row r="8" spans="1:4" x14ac:dyDescent="0.2">
      <c r="A8" s="6" t="s">
        <v>150</v>
      </c>
      <c r="B8" s="7">
        <v>559.76099999999997</v>
      </c>
      <c r="C8" s="7">
        <v>553.59799999999996</v>
      </c>
      <c r="D8" s="7">
        <v>521.89499999999998</v>
      </c>
    </row>
    <row r="11" spans="1:4" x14ac:dyDescent="0.2">
      <c r="A11" s="8" t="s">
        <v>50</v>
      </c>
    </row>
  </sheetData>
  <pageMargins left="0.75" right="0.75" top="1" bottom="1" header="0.5" footer="0.5"/>
</worksheet>
</file>

<file path=docMetadata/LabelInfo.xml><?xml version="1.0" encoding="utf-8"?>
<clbl:labelList xmlns:clbl="http://schemas.microsoft.com/office/2020/mipLabelMetadata">
  <clbl:label id="{ca936f2b-b15a-4bc2-b91f-7ccbd76fa7d1}" enabled="0" method="" siteId="{ca936f2b-b15a-4bc2-b91f-7ccbd76fa7d1}"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12</vt:i4>
      </vt:variant>
    </vt:vector>
  </HeadingPairs>
  <TitlesOfParts>
    <vt:vector size="12" baseType="lpstr">
      <vt:lpstr>Operating model</vt:lpstr>
      <vt:lpstr>WACC</vt:lpstr>
      <vt:lpstr>Estimates</vt:lpstr>
      <vt:lpstr>Scenarios</vt:lpstr>
      <vt:lpstr>DCF</vt:lpstr>
      <vt:lpstr>Cross-check</vt:lpstr>
      <vt:lpstr>Comps</vt:lpstr>
      <vt:lpstr>Consolidated Balance Sheet</vt:lpstr>
      <vt:lpstr>Consolidated Income Stmt</vt:lpstr>
      <vt:lpstr>Consolidated Cash Flow</vt:lpstr>
      <vt:lpstr>Note 20 - Segment Results</vt:lpstr>
      <vt:lpstr>Note 20 - D&amp;A by 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Morabito</cp:lastModifiedBy>
  <dcterms:created xsi:type="dcterms:W3CDTF">2026-08-20T06:27:39Z</dcterms:created>
  <dcterms:modified xsi:type="dcterms:W3CDTF">2026-09-14T08:37:32Z</dcterms:modified>
</cp:coreProperties>
</file>